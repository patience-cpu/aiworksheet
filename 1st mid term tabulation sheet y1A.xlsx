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Final Results" sheetId="1" r:id="rId1"/>
    <sheet name="Quiz" sheetId="2" r:id="rId2"/>
    <sheet name="HW&amp;Projects" sheetId="3" r:id="rId3"/>
    <sheet name="CW&amp;Projec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<sst xmlns="http://schemas.openxmlformats.org/spreadsheetml/2006/main" count="106" uniqueCount="82">
  <si>
    <t>First Mid-Term Exam (AY 2025-2026)</t>
  </si>
  <si>
    <t>Year</t>
  </si>
  <si>
    <t>Section</t>
  </si>
  <si>
    <t>A</t>
  </si>
  <si>
    <t>Teacher Name:</t>
  </si>
  <si>
    <t>Ms Patience</t>
  </si>
  <si>
    <t>S.No.</t>
  </si>
  <si>
    <t>Name of student</t>
  </si>
  <si>
    <t>Quiz</t>
  </si>
  <si>
    <t>CW</t>
  </si>
  <si>
    <t>HW</t>
  </si>
  <si>
    <t>Term Exam</t>
  </si>
  <si>
    <t>Total</t>
  </si>
  <si>
    <t>1-</t>
  </si>
  <si>
    <t>Abdul Manan Nour</t>
  </si>
  <si>
    <t>2-</t>
  </si>
  <si>
    <t>Abdullah Mohamed Akrim</t>
  </si>
  <si>
    <t>3-</t>
  </si>
  <si>
    <t>Ahmad Ammar mohammed</t>
  </si>
  <si>
    <t>4-</t>
  </si>
  <si>
    <t>Farida Ghofran</t>
  </si>
  <si>
    <t>5-</t>
  </si>
  <si>
    <t>Jwan Ayman Hashiam</t>
  </si>
  <si>
    <t>6-</t>
  </si>
  <si>
    <t>Ayla Ahmad</t>
  </si>
  <si>
    <t>7-</t>
  </si>
  <si>
    <t>Leen Ahmed Fekry</t>
  </si>
  <si>
    <t>8-</t>
  </si>
  <si>
    <t>Muhd. Faris suleman</t>
  </si>
  <si>
    <t>9-</t>
  </si>
  <si>
    <t>Maheen Fatima Shoaib</t>
  </si>
  <si>
    <t>10-</t>
  </si>
  <si>
    <t>Malek Mohamed</t>
  </si>
  <si>
    <t>11-</t>
  </si>
  <si>
    <t>Mariam Abusnaina</t>
  </si>
  <si>
    <t>12-</t>
  </si>
  <si>
    <t>Moath Mostafa Essam</t>
  </si>
  <si>
    <t>13-</t>
  </si>
  <si>
    <t>Muhammad Ayaan Sohaib</t>
  </si>
  <si>
    <t>14-</t>
  </si>
  <si>
    <t>Muhammad Mujtaba Sohaib</t>
  </si>
  <si>
    <t>15-</t>
  </si>
  <si>
    <t>Muhammad Salar Khan</t>
  </si>
  <si>
    <t>16-</t>
  </si>
  <si>
    <t>Nellie Mostafa Magdy</t>
  </si>
  <si>
    <t>17-</t>
  </si>
  <si>
    <t>Nooryn Omer Hasan</t>
  </si>
  <si>
    <t>18-</t>
  </si>
  <si>
    <t>Rayaan Ahmed Resk</t>
  </si>
  <si>
    <t>19-</t>
  </si>
  <si>
    <t>Ryan Sherif Ramadan</t>
  </si>
  <si>
    <t>20-</t>
  </si>
  <si>
    <t>Reem Sudqi Azmi</t>
  </si>
  <si>
    <t>21-</t>
  </si>
  <si>
    <t>Salama Humaid Abdullah</t>
  </si>
  <si>
    <t>22-</t>
  </si>
  <si>
    <t>Teya Mustafa Mahmoud</t>
  </si>
  <si>
    <t>23-</t>
  </si>
  <si>
    <t>Wahnita Tinashe</t>
  </si>
  <si>
    <t>24-</t>
  </si>
  <si>
    <t>Yamen Ahmed Elsayed</t>
  </si>
  <si>
    <t>25-</t>
  </si>
  <si>
    <t>Zerlin Rafaqat Syed</t>
  </si>
  <si>
    <t>26-</t>
  </si>
  <si>
    <t>27-</t>
  </si>
  <si>
    <t>28-</t>
  </si>
  <si>
    <t>29-</t>
  </si>
  <si>
    <t>30-</t>
  </si>
  <si>
    <t>31-</t>
  </si>
  <si>
    <t>32-</t>
  </si>
  <si>
    <t>33-</t>
  </si>
  <si>
    <t>34-</t>
  </si>
  <si>
    <t>35-</t>
  </si>
  <si>
    <t>Quiz 1</t>
  </si>
  <si>
    <t>Quiz 2</t>
  </si>
  <si>
    <t>Quiz 3</t>
  </si>
  <si>
    <t>Quiz 4</t>
  </si>
  <si>
    <t>Maximum Marks</t>
  </si>
  <si>
    <t>Week 1</t>
  </si>
  <si>
    <t>Week 2</t>
  </si>
  <si>
    <t>Week 3</t>
  </si>
  <si>
    <t>Week 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</si>
</sst>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  <font>
      <sz val="8"/>
      <color rgb="FF000000"/>
      <name val="Verdana"/>
      <charset val="134"/>
    </font>
    <font>
      <sz val="10"/>
      <color indexed="8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10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2" borderId="0" xfId="0" applyFont="1" applyFill="1"/>
    <xf numFmtId="0" fontId="0" fillId="3" borderId="1" xfId="0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0" fontId="0" fillId="4" borderId="2" xfId="0" applyFill="1" applyBorder="1"/>
    <xf numFmtId="0" fontId="3" fillId="4" borderId="2" xfId="0" applyFont="1" applyFill="1" applyBorder="1" applyAlignment="1">
      <alignment horizontal="right"/>
    </xf>
    <xf numFmtId="1" fontId="0" fillId="5" borderId="2" xfId="0" applyNumberFormat="1" applyFill="1" applyBorder="1" applyAlignment="1" applyProtection="1">
      <alignment horizontal="center" vertical="center" wrapText="1"/>
      <protection locked="0"/>
    </xf>
    <xf numFmtId="1" fontId="0" fillId="0" borderId="2" xfId="0" applyNumberFormat="1" applyBorder="1" applyAlignment="1" applyProtection="1">
      <alignment horizontal="center" vertical="center" wrapText="1"/>
      <protection locked="0"/>
    </xf>
    <xf numFmtId="1" fontId="0" fillId="0" borderId="2" xfId="0" applyNumberFormat="1" applyBorder="1" applyProtection="1">
      <protection locked="0"/>
    </xf>
    <xf numFmtId="49" fontId="0" fillId="4" borderId="2" xfId="0" applyNumberFormat="1" applyFill="1" applyBorder="1"/>
    <xf numFmtId="1" fontId="0" fillId="5" borderId="2" xfId="0" applyNumberFormat="1" applyFill="1" applyBorder="1" applyProtection="1">
      <protection locked="0"/>
    </xf>
    <xf numFmtId="0" fontId="0" fillId="6" borderId="2" xfId="0" applyFill="1" applyBorder="1"/>
    <xf numFmtId="0" fontId="3" fillId="6" borderId="2" xfId="0" applyFont="1" applyFill="1" applyBorder="1" applyAlignment="1">
      <alignment horizontal="right"/>
    </xf>
    <xf numFmtId="1" fontId="0" fillId="5" borderId="2" xfId="0" applyNumberFormat="1" applyFill="1" applyBorder="1"/>
    <xf numFmtId="0" fontId="4" fillId="0" borderId="2" xfId="0" applyFont="1" applyBorder="1" applyProtection="1">
      <protection locked="0"/>
    </xf>
    <xf numFmtId="1" fontId="0" fillId="6" borderId="2" xfId="0" applyNumberFormat="1" applyFill="1" applyBorder="1"/>
    <xf numFmtId="0" fontId="5" fillId="0" borderId="2" xfId="0" applyFon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0" fillId="2" borderId="2" xfId="0" applyFill="1" applyBorder="1"/>
    <xf numFmtId="0" fontId="4" fillId="0" borderId="3" xfId="0" applyFont="1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horizontal="right"/>
      <protection locked="0"/>
    </xf>
    <xf numFmtId="0" fontId="4" fillId="0" borderId="4" xfId="0" applyFont="1" applyBorder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6" fillId="5" borderId="5" xfId="0" applyFont="1" applyFill="1" applyBorder="1" applyAlignment="1" applyProtection="1">
      <alignment horizontal="left" vertical="center" wrapText="1"/>
      <protection locked="0"/>
    </xf>
    <xf numFmtId="0" fontId="7" fillId="5" borderId="3" xfId="0" applyFont="1" applyFill="1" applyBorder="1" applyAlignment="1" applyProtection="1">
      <alignment vertical="top"/>
      <protection locked="0"/>
    </xf>
    <xf numFmtId="0" fontId="0" fillId="0" borderId="2" xfId="0" applyBorder="1" applyProtection="1">
      <protection locked="0"/>
    </xf>
    <xf numFmtId="0" fontId="0" fillId="0" borderId="2" xfId="0" applyBorder="1" applyAlignment="1" applyProtection="1">
      <alignment horizontal="right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40"/>
  <sheetViews>
    <sheetView tabSelected="1" workbookViewId="0">
      <selection activeCell="C3" sqref="C3:G3"/>
    </sheetView>
  </sheetViews>
  <sheetFormatPr defaultColWidth="9" defaultRowHeight="15" outlineLevelCol="6"/>
  <cols>
    <col min="1" max="1" width="5.90476190476191" customWidth="1"/>
    <col min="2" max="2" width="46.6285714285714" customWidth="1"/>
    <col min="3" max="3" width="5.62857142857143" customWidth="1"/>
    <col min="4" max="4" width="4.62857142857143" customWidth="1"/>
    <col min="5" max="5" width="4.54285714285714" customWidth="1"/>
    <col min="6" max="6" width="10.5428571428571" customWidth="1"/>
  </cols>
  <sheetData>
    <row r="2" spans="2:7">
      <c r="B2" s="1" t="s">
        <v>0</v>
      </c>
      <c r="C2" s="2"/>
      <c r="D2" s="3" t="s">
        <v>1</v>
      </c>
      <c r="E2" s="19">
        <v>1</v>
      </c>
      <c r="F2" s="3" t="s">
        <v>2</v>
      </c>
      <c r="G2" s="19" t="s">
        <v>3</v>
      </c>
    </row>
    <row r="3" spans="2:7">
      <c r="B3" s="5" t="s">
        <v>4</v>
      </c>
      <c r="C3" s="20" t="s">
        <v>5</v>
      </c>
      <c r="D3" s="20"/>
      <c r="E3" s="20"/>
      <c r="F3" s="20"/>
      <c r="G3" s="20"/>
    </row>
    <row r="4" spans="1:7">
      <c r="A4" s="21" t="s">
        <v>6</v>
      </c>
      <c r="B4" s="21" t="s">
        <v>7</v>
      </c>
      <c r="C4" s="21" t="s">
        <v>8</v>
      </c>
      <c r="D4" s="21" t="s">
        <v>9</v>
      </c>
      <c r="E4" s="21" t="s">
        <v>10</v>
      </c>
      <c r="F4" s="21" t="s">
        <v>11</v>
      </c>
      <c r="G4" s="21" t="s">
        <v>12</v>
      </c>
    </row>
    <row r="5" ht="15.75" spans="1:7">
      <c r="A5" s="22"/>
      <c r="B5" s="22"/>
      <c r="C5" s="22">
        <v>20</v>
      </c>
      <c r="D5" s="22">
        <v>10</v>
      </c>
      <c r="E5" s="22">
        <v>10</v>
      </c>
      <c r="F5" s="22">
        <v>60</v>
      </c>
      <c r="G5" s="22">
        <v>100</v>
      </c>
    </row>
    <row r="6" ht="16.5" spans="1:7">
      <c r="A6" s="13" t="s">
        <v>13</v>
      </c>
      <c r="B6" s="23" t="s">
        <v>14</v>
      </c>
      <c r="C6" s="17">
        <f>ROUNDUP(Quiz!G6,0)</f>
        <v>20</v>
      </c>
      <c r="D6" s="13">
        <f>'CW&amp;Projects'!G6</f>
        <v>10</v>
      </c>
      <c r="E6" s="13">
        <f>'HW&amp;Projects'!G6</f>
        <v>10</v>
      </c>
      <c r="F6" s="24">
        <v>57</v>
      </c>
      <c r="G6" s="17">
        <f>C6+D6+E6+F6</f>
        <v>97</v>
      </c>
    </row>
    <row r="7" ht="16.5" spans="1:7">
      <c r="A7" s="13" t="s">
        <v>15</v>
      </c>
      <c r="B7" s="25" t="s">
        <v>16</v>
      </c>
      <c r="C7" s="17">
        <f>ROUNDUP(Quiz!G7,0)</f>
        <v>20</v>
      </c>
      <c r="D7" s="13">
        <f>'CW&amp;Projects'!G7</f>
        <v>10</v>
      </c>
      <c r="E7" s="13">
        <f>'HW&amp;Projects'!G7</f>
        <v>10</v>
      </c>
      <c r="F7" s="24">
        <v>50</v>
      </c>
      <c r="G7" s="17">
        <f t="shared" ref="G7:G40" si="0">C7+D7+E7+F7</f>
        <v>90</v>
      </c>
    </row>
    <row r="8" ht="16.5" spans="1:7">
      <c r="A8" s="13" t="s">
        <v>17</v>
      </c>
      <c r="B8" s="25" t="s">
        <v>18</v>
      </c>
      <c r="C8" s="17">
        <f>ROUNDUP(Quiz!G8,0)</f>
        <v>20</v>
      </c>
      <c r="D8" s="13">
        <f>'CW&amp;Projects'!G8</f>
        <v>10</v>
      </c>
      <c r="E8" s="13">
        <f>'HW&amp;Projects'!G8</f>
        <v>10</v>
      </c>
      <c r="F8" s="24">
        <v>60</v>
      </c>
      <c r="G8" s="17">
        <f t="shared" si="0"/>
        <v>100</v>
      </c>
    </row>
    <row r="9" ht="16.5" spans="1:7">
      <c r="A9" s="13" t="s">
        <v>19</v>
      </c>
      <c r="B9" s="25" t="s">
        <v>20</v>
      </c>
      <c r="C9" s="17">
        <f>ROUNDUP(Quiz!G9,0)</f>
        <v>20</v>
      </c>
      <c r="D9" s="13">
        <f>'CW&amp;Projects'!G9</f>
        <v>10</v>
      </c>
      <c r="E9" s="13">
        <f>'HW&amp;Projects'!G9</f>
        <v>10</v>
      </c>
      <c r="F9" s="24">
        <v>60</v>
      </c>
      <c r="G9" s="17">
        <f t="shared" si="0"/>
        <v>100</v>
      </c>
    </row>
    <row r="10" ht="16.5" spans="1:7">
      <c r="A10" s="13" t="s">
        <v>21</v>
      </c>
      <c r="B10" s="25" t="s">
        <v>22</v>
      </c>
      <c r="C10" s="17">
        <f>ROUNDUP(Quiz!G10,0)</f>
        <v>20</v>
      </c>
      <c r="D10" s="13">
        <f>'CW&amp;Projects'!G10</f>
        <v>10</v>
      </c>
      <c r="E10" s="13">
        <f>'HW&amp;Projects'!G10</f>
        <v>10</v>
      </c>
      <c r="F10" s="24">
        <v>60</v>
      </c>
      <c r="G10" s="17">
        <f t="shared" si="0"/>
        <v>100</v>
      </c>
    </row>
    <row r="11" ht="16.5" spans="1:7">
      <c r="A11" s="13" t="s">
        <v>23</v>
      </c>
      <c r="B11" s="23" t="s">
        <v>24</v>
      </c>
      <c r="C11" s="17">
        <f>ROUNDUP(Quiz!G11,0)</f>
        <v>20</v>
      </c>
      <c r="D11" s="13">
        <f>'CW&amp;Projects'!G11</f>
        <v>10</v>
      </c>
      <c r="E11" s="13">
        <f>'HW&amp;Projects'!G11</f>
        <v>10</v>
      </c>
      <c r="F11" s="24">
        <v>59</v>
      </c>
      <c r="G11" s="17">
        <f t="shared" si="0"/>
        <v>99</v>
      </c>
    </row>
    <row r="12" ht="16.5" spans="1:7">
      <c r="A12" s="13" t="s">
        <v>25</v>
      </c>
      <c r="B12" s="25" t="s">
        <v>26</v>
      </c>
      <c r="C12" s="17">
        <f>ROUNDUP(Quiz!G12,0)</f>
        <v>20</v>
      </c>
      <c r="D12" s="13">
        <f>'CW&amp;Projects'!G12</f>
        <v>10</v>
      </c>
      <c r="E12" s="13">
        <f>'HW&amp;Projects'!G12</f>
        <v>10</v>
      </c>
      <c r="F12" s="24">
        <v>60</v>
      </c>
      <c r="G12" s="17">
        <f t="shared" si="0"/>
        <v>100</v>
      </c>
    </row>
    <row r="13" ht="16.5" spans="1:7">
      <c r="A13" s="13" t="s">
        <v>27</v>
      </c>
      <c r="B13" s="25" t="s">
        <v>28</v>
      </c>
      <c r="C13" s="17">
        <f>ROUNDUP(Quiz!G13,0)</f>
        <v>20</v>
      </c>
      <c r="D13" s="13">
        <f>'CW&amp;Projects'!G13</f>
        <v>10</v>
      </c>
      <c r="E13" s="13">
        <f>'HW&amp;Projects'!G13</f>
        <v>10</v>
      </c>
      <c r="F13" s="24">
        <v>60</v>
      </c>
      <c r="G13" s="17">
        <f t="shared" si="0"/>
        <v>100</v>
      </c>
    </row>
    <row r="14" ht="16.5" spans="1:7">
      <c r="A14" s="13" t="s">
        <v>29</v>
      </c>
      <c r="B14" s="25" t="s">
        <v>30</v>
      </c>
      <c r="C14" s="17">
        <f>ROUNDUP(Quiz!G14,0)</f>
        <v>20</v>
      </c>
      <c r="D14" s="13">
        <f>'CW&amp;Projects'!G14</f>
        <v>10</v>
      </c>
      <c r="E14" s="13">
        <f>'HW&amp;Projects'!G14</f>
        <v>10</v>
      </c>
      <c r="F14" s="24">
        <v>60</v>
      </c>
      <c r="G14" s="17">
        <f t="shared" si="0"/>
        <v>100</v>
      </c>
    </row>
    <row r="15" ht="16.5" spans="1:7">
      <c r="A15" s="13" t="s">
        <v>31</v>
      </c>
      <c r="B15" s="25" t="s">
        <v>32</v>
      </c>
      <c r="C15" s="17">
        <f>ROUNDUP(Quiz!G15,0)</f>
        <v>20</v>
      </c>
      <c r="D15" s="13">
        <f>'CW&amp;Projects'!G15</f>
        <v>10</v>
      </c>
      <c r="E15" s="13">
        <f>'HW&amp;Projects'!G15</f>
        <v>10</v>
      </c>
      <c r="F15" s="24">
        <v>57</v>
      </c>
      <c r="G15" s="17">
        <f t="shared" si="0"/>
        <v>97</v>
      </c>
    </row>
    <row r="16" ht="16.5" spans="1:7">
      <c r="A16" s="13" t="s">
        <v>33</v>
      </c>
      <c r="B16" s="23" t="s">
        <v>34</v>
      </c>
      <c r="C16" s="17">
        <f>ROUNDUP(Quiz!G16,0)</f>
        <v>20</v>
      </c>
      <c r="D16" s="13">
        <f>'CW&amp;Projects'!G16</f>
        <v>10</v>
      </c>
      <c r="E16" s="13">
        <f>'HW&amp;Projects'!G16</f>
        <v>10</v>
      </c>
      <c r="F16" s="24">
        <v>60</v>
      </c>
      <c r="G16" s="17">
        <f t="shared" si="0"/>
        <v>100</v>
      </c>
    </row>
    <row r="17" ht="16.5" spans="1:7">
      <c r="A17" s="13" t="s">
        <v>35</v>
      </c>
      <c r="B17" s="25" t="s">
        <v>36</v>
      </c>
      <c r="C17" s="17">
        <f>ROUNDUP(Quiz!G17,0)</f>
        <v>20</v>
      </c>
      <c r="D17" s="13">
        <f>'CW&amp;Projects'!G17</f>
        <v>10</v>
      </c>
      <c r="E17" s="13">
        <f>'HW&amp;Projects'!G17</f>
        <v>10</v>
      </c>
      <c r="F17" s="24">
        <v>51</v>
      </c>
      <c r="G17" s="17">
        <f t="shared" si="0"/>
        <v>91</v>
      </c>
    </row>
    <row r="18" ht="16.5" spans="1:7">
      <c r="A18" s="13" t="s">
        <v>37</v>
      </c>
      <c r="B18" s="25" t="s">
        <v>38</v>
      </c>
      <c r="C18" s="17">
        <f>ROUNDUP(Quiz!G18,0)</f>
        <v>20</v>
      </c>
      <c r="D18" s="13">
        <f>'CW&amp;Projects'!G18</f>
        <v>10</v>
      </c>
      <c r="E18" s="13">
        <f>'HW&amp;Projects'!G18</f>
        <v>10</v>
      </c>
      <c r="F18" s="24">
        <v>56</v>
      </c>
      <c r="G18" s="17">
        <f t="shared" si="0"/>
        <v>96</v>
      </c>
    </row>
    <row r="19" ht="16.5" spans="1:7">
      <c r="A19" s="13" t="s">
        <v>39</v>
      </c>
      <c r="B19" s="25" t="s">
        <v>40</v>
      </c>
      <c r="C19" s="17">
        <f>ROUNDUP(Quiz!G19,0)</f>
        <v>20</v>
      </c>
      <c r="D19" s="13">
        <f>'CW&amp;Projects'!G19</f>
        <v>10</v>
      </c>
      <c r="E19" s="13">
        <f>'HW&amp;Projects'!G19</f>
        <v>10</v>
      </c>
      <c r="F19" s="24">
        <v>60</v>
      </c>
      <c r="G19" s="17">
        <f t="shared" si="0"/>
        <v>100</v>
      </c>
    </row>
    <row r="20" ht="16.5" spans="1:7">
      <c r="A20" s="13" t="s">
        <v>41</v>
      </c>
      <c r="B20" s="25" t="s">
        <v>42</v>
      </c>
      <c r="C20" s="17">
        <f>ROUNDUP(Quiz!G20,0)</f>
        <v>20</v>
      </c>
      <c r="D20" s="13">
        <f>'CW&amp;Projects'!G20</f>
        <v>10</v>
      </c>
      <c r="E20" s="13">
        <f>'HW&amp;Projects'!G20</f>
        <v>10</v>
      </c>
      <c r="F20" s="24">
        <v>58</v>
      </c>
      <c r="G20" s="17">
        <f t="shared" si="0"/>
        <v>98</v>
      </c>
    </row>
    <row r="21" ht="16.5" spans="1:7">
      <c r="A21" s="13" t="s">
        <v>43</v>
      </c>
      <c r="B21" s="23" t="s">
        <v>44</v>
      </c>
      <c r="C21" s="17">
        <f>ROUNDUP(Quiz!G21,0)</f>
        <v>20</v>
      </c>
      <c r="D21" s="13">
        <f>'CW&amp;Projects'!G21</f>
        <v>10</v>
      </c>
      <c r="E21" s="13">
        <f>'HW&amp;Projects'!G21</f>
        <v>10</v>
      </c>
      <c r="F21" s="24">
        <v>60</v>
      </c>
      <c r="G21" s="17">
        <f t="shared" si="0"/>
        <v>100</v>
      </c>
    </row>
    <row r="22" ht="16.5" spans="1:7">
      <c r="A22" s="13" t="s">
        <v>45</v>
      </c>
      <c r="B22" s="25" t="s">
        <v>46</v>
      </c>
      <c r="C22" s="17">
        <f>ROUNDUP(Quiz!G22,0)</f>
        <v>20</v>
      </c>
      <c r="D22" s="13">
        <f>'CW&amp;Projects'!G22</f>
        <v>10</v>
      </c>
      <c r="E22" s="13">
        <f>'HW&amp;Projects'!G22</f>
        <v>10</v>
      </c>
      <c r="F22" s="24">
        <v>57</v>
      </c>
      <c r="G22" s="17">
        <f t="shared" si="0"/>
        <v>97</v>
      </c>
    </row>
    <row r="23" ht="16.5" spans="1:7">
      <c r="A23" s="13" t="s">
        <v>47</v>
      </c>
      <c r="B23" s="25" t="s">
        <v>48</v>
      </c>
      <c r="C23" s="17">
        <f>ROUNDUP(Quiz!G23,0)</f>
        <v>20</v>
      </c>
      <c r="D23" s="13">
        <f>'CW&amp;Projects'!G23</f>
        <v>10</v>
      </c>
      <c r="E23" s="13">
        <f>'HW&amp;Projects'!G23</f>
        <v>10</v>
      </c>
      <c r="F23" s="24">
        <v>57</v>
      </c>
      <c r="G23" s="17">
        <f t="shared" si="0"/>
        <v>97</v>
      </c>
    </row>
    <row r="24" ht="16.5" spans="1:7">
      <c r="A24" s="13" t="s">
        <v>49</v>
      </c>
      <c r="B24" s="25" t="s">
        <v>50</v>
      </c>
      <c r="C24" s="17">
        <f>ROUNDUP(Quiz!G24,0)</f>
        <v>20</v>
      </c>
      <c r="D24" s="13">
        <f>'CW&amp;Projects'!G24</f>
        <v>10</v>
      </c>
      <c r="E24" s="13">
        <f>'HW&amp;Projects'!G24</f>
        <v>10</v>
      </c>
      <c r="F24" s="24">
        <v>60</v>
      </c>
      <c r="G24" s="17">
        <f t="shared" si="0"/>
        <v>100</v>
      </c>
    </row>
    <row r="25" ht="16.5" spans="1:7">
      <c r="A25" s="13" t="s">
        <v>51</v>
      </c>
      <c r="B25" s="25" t="s">
        <v>52</v>
      </c>
      <c r="C25" s="17">
        <f>ROUNDUP(Quiz!G25,0)</f>
        <v>20</v>
      </c>
      <c r="D25" s="13">
        <f>'CW&amp;Projects'!G25</f>
        <v>10</v>
      </c>
      <c r="E25" s="13">
        <f>'HW&amp;Projects'!G25</f>
        <v>10</v>
      </c>
      <c r="F25" s="24">
        <v>60</v>
      </c>
      <c r="G25" s="17">
        <f t="shared" si="0"/>
        <v>100</v>
      </c>
    </row>
    <row r="26" ht="16.5" spans="1:7">
      <c r="A26" s="13" t="s">
        <v>53</v>
      </c>
      <c r="B26" s="23" t="s">
        <v>54</v>
      </c>
      <c r="C26" s="17">
        <f>ROUNDUP(Quiz!G26,0)</f>
        <v>20</v>
      </c>
      <c r="D26" s="13">
        <f>'CW&amp;Projects'!G26</f>
        <v>10</v>
      </c>
      <c r="E26" s="13">
        <f>'HW&amp;Projects'!G26</f>
        <v>10</v>
      </c>
      <c r="F26" s="24">
        <v>60</v>
      </c>
      <c r="G26" s="17">
        <f t="shared" si="0"/>
        <v>100</v>
      </c>
    </row>
    <row r="27" ht="20.25" customHeight="1" spans="1:7">
      <c r="A27" s="13" t="s">
        <v>55</v>
      </c>
      <c r="B27" s="25" t="s">
        <v>56</v>
      </c>
      <c r="C27" s="17">
        <f>ROUNDUP(Quiz!G27,0)</f>
        <v>20</v>
      </c>
      <c r="D27" s="13">
        <f>'CW&amp;Projects'!G27</f>
        <v>10</v>
      </c>
      <c r="E27" s="13">
        <f>'HW&amp;Projects'!G27</f>
        <v>10</v>
      </c>
      <c r="F27" s="24">
        <v>60</v>
      </c>
      <c r="G27" s="17">
        <f t="shared" si="0"/>
        <v>100</v>
      </c>
    </row>
    <row r="28" ht="16.5" spans="1:7">
      <c r="A28" s="13" t="s">
        <v>57</v>
      </c>
      <c r="B28" s="25" t="s">
        <v>58</v>
      </c>
      <c r="C28" s="17">
        <f>ROUNDUP(Quiz!G28,0)</f>
        <v>20</v>
      </c>
      <c r="D28" s="13">
        <f>'CW&amp;Projects'!G28</f>
        <v>10</v>
      </c>
      <c r="E28" s="13">
        <f>'HW&amp;Projects'!G28</f>
        <v>10</v>
      </c>
      <c r="F28" s="24">
        <v>55</v>
      </c>
      <c r="G28" s="17">
        <f t="shared" si="0"/>
        <v>95</v>
      </c>
    </row>
    <row r="29" ht="16.5" spans="1:7">
      <c r="A29" s="13" t="s">
        <v>59</v>
      </c>
      <c r="B29" s="25" t="s">
        <v>60</v>
      </c>
      <c r="C29" s="17">
        <f>ROUNDUP(Quiz!G29,0)</f>
        <v>20</v>
      </c>
      <c r="D29" s="13">
        <f>'CW&amp;Projects'!G29</f>
        <v>10</v>
      </c>
      <c r="E29" s="13">
        <f>'HW&amp;Projects'!G29</f>
        <v>10</v>
      </c>
      <c r="F29" s="24">
        <v>60</v>
      </c>
      <c r="G29" s="17">
        <f t="shared" si="0"/>
        <v>100</v>
      </c>
    </row>
    <row r="30" ht="16.5" spans="1:7">
      <c r="A30" s="13" t="s">
        <v>61</v>
      </c>
      <c r="B30" s="25" t="s">
        <v>62</v>
      </c>
      <c r="C30" s="17">
        <f>ROUNDUP(Quiz!G30,0)</f>
        <v>20</v>
      </c>
      <c r="D30" s="13">
        <f>'CW&amp;Projects'!G30</f>
        <v>10</v>
      </c>
      <c r="E30" s="13">
        <f>'HW&amp;Projects'!G30</f>
        <v>10</v>
      </c>
      <c r="F30" s="24">
        <v>60</v>
      </c>
      <c r="G30" s="17">
        <f t="shared" si="0"/>
        <v>100</v>
      </c>
    </row>
    <row r="31" ht="15.75" spans="1:7">
      <c r="A31" s="13" t="s">
        <v>63</v>
      </c>
      <c r="B31" s="26"/>
      <c r="C31" s="17">
        <f>ROUNDUP(Quiz!G31,0)</f>
        <v>20</v>
      </c>
      <c r="D31" s="13">
        <f>'CW&amp;Projects'!G31</f>
        <v>10</v>
      </c>
      <c r="E31" s="13">
        <f>'HW&amp;Projects'!G31</f>
        <v>10</v>
      </c>
      <c r="F31" s="24"/>
      <c r="G31" s="17">
        <f t="shared" si="0"/>
        <v>40</v>
      </c>
    </row>
    <row r="32" ht="15.75" spans="1:7">
      <c r="A32" s="13" t="s">
        <v>64</v>
      </c>
      <c r="B32" s="26"/>
      <c r="C32" s="17">
        <f>ROUNDUP(Quiz!G32,0)</f>
        <v>20</v>
      </c>
      <c r="D32" s="13">
        <f>'CW&amp;Projects'!G32</f>
        <v>10</v>
      </c>
      <c r="E32" s="13">
        <f>'HW&amp;Projects'!G32</f>
        <v>10</v>
      </c>
      <c r="F32" s="24"/>
      <c r="G32" s="17">
        <f t="shared" si="0"/>
        <v>40</v>
      </c>
    </row>
    <row r="33" ht="15.75" spans="1:7">
      <c r="A33" s="13" t="s">
        <v>65</v>
      </c>
      <c r="B33" s="26"/>
      <c r="C33" s="17">
        <f>ROUNDUP(Quiz!G33,0)</f>
        <v>20</v>
      </c>
      <c r="D33" s="13">
        <f>'CW&amp;Projects'!G33</f>
        <v>10</v>
      </c>
      <c r="E33" s="13">
        <f>'HW&amp;Projects'!G33</f>
        <v>10</v>
      </c>
      <c r="F33" s="24"/>
      <c r="G33" s="17">
        <f t="shared" si="0"/>
        <v>40</v>
      </c>
    </row>
    <row r="34" ht="15.75" spans="1:7">
      <c r="A34" s="13" t="s">
        <v>66</v>
      </c>
      <c r="B34" s="26"/>
      <c r="C34" s="17">
        <f>ROUNDUP(Quiz!G34,0)</f>
        <v>20</v>
      </c>
      <c r="D34" s="13">
        <f>'CW&amp;Projects'!G34</f>
        <v>10</v>
      </c>
      <c r="E34" s="13">
        <f>'HW&amp;Projects'!G34</f>
        <v>10</v>
      </c>
      <c r="F34" s="24"/>
      <c r="G34" s="17">
        <f t="shared" si="0"/>
        <v>40</v>
      </c>
    </row>
    <row r="35" ht="15.75" spans="1:7">
      <c r="A35" s="13" t="s">
        <v>67</v>
      </c>
      <c r="B35" s="26"/>
      <c r="C35" s="17">
        <f>ROUNDUP(Quiz!G35,0)</f>
        <v>20</v>
      </c>
      <c r="D35" s="13">
        <f>'CW&amp;Projects'!G35</f>
        <v>10</v>
      </c>
      <c r="E35" s="13">
        <f>'HW&amp;Projects'!G35</f>
        <v>10</v>
      </c>
      <c r="F35" s="24"/>
      <c r="G35" s="17">
        <f t="shared" si="0"/>
        <v>40</v>
      </c>
    </row>
    <row r="36" ht="15.75" spans="1:7">
      <c r="A36" s="13" t="s">
        <v>68</v>
      </c>
      <c r="B36" s="27"/>
      <c r="C36" s="17">
        <f>ROUNDUP(Quiz!G36,0)</f>
        <v>0</v>
      </c>
      <c r="D36" s="13" t="e">
        <f>'CW&amp;Projects'!G36</f>
        <v>#DIV/0!</v>
      </c>
      <c r="E36" s="13" t="e">
        <f>'HW&amp;Projects'!G36</f>
        <v>#DIV/0!</v>
      </c>
      <c r="F36" s="24"/>
      <c r="G36" s="17" t="e">
        <f t="shared" si="0"/>
        <v>#DIV/0!</v>
      </c>
    </row>
    <row r="37" ht="15.75" spans="1:7">
      <c r="A37" s="13" t="s">
        <v>69</v>
      </c>
      <c r="B37" s="28"/>
      <c r="C37" s="17">
        <f>ROUNDUP(Quiz!G37,0)</f>
        <v>0</v>
      </c>
      <c r="D37" s="13" t="e">
        <f>'CW&amp;Projects'!G37</f>
        <v>#DIV/0!</v>
      </c>
      <c r="E37" s="13" t="e">
        <f>'HW&amp;Projects'!G37</f>
        <v>#DIV/0!</v>
      </c>
      <c r="F37" s="24"/>
      <c r="G37" s="17" t="e">
        <f t="shared" si="0"/>
        <v>#DIV/0!</v>
      </c>
    </row>
    <row r="38" spans="1:7">
      <c r="A38" s="13" t="s">
        <v>70</v>
      </c>
      <c r="B38" s="29"/>
      <c r="C38" s="17">
        <f>ROUNDUP(Quiz!G38,0)</f>
        <v>0</v>
      </c>
      <c r="D38" s="13" t="e">
        <f>'CW&amp;Projects'!G38</f>
        <v>#DIV/0!</v>
      </c>
      <c r="E38" s="13" t="e">
        <f>'HW&amp;Projects'!G38</f>
        <v>#DIV/0!</v>
      </c>
      <c r="F38" s="30"/>
      <c r="G38" s="17" t="e">
        <f t="shared" si="0"/>
        <v>#DIV/0!</v>
      </c>
    </row>
    <row r="39" spans="1:7">
      <c r="A39" s="13" t="s">
        <v>71</v>
      </c>
      <c r="B39" s="29"/>
      <c r="C39" s="17">
        <f>ROUNDUP(Quiz!G39,0)</f>
        <v>0</v>
      </c>
      <c r="D39" s="13" t="e">
        <f>'CW&amp;Projects'!G39</f>
        <v>#DIV/0!</v>
      </c>
      <c r="E39" s="13" t="e">
        <f>'HW&amp;Projects'!G39</f>
        <v>#DIV/0!</v>
      </c>
      <c r="F39" s="30"/>
      <c r="G39" s="17" t="e">
        <f t="shared" si="0"/>
        <v>#DIV/0!</v>
      </c>
    </row>
    <row r="40" spans="1:7">
      <c r="A40" s="13" t="s">
        <v>72</v>
      </c>
      <c r="B40" s="29"/>
      <c r="C40" s="17">
        <f>ROUNDUP(Quiz!G40,0)</f>
        <v>0</v>
      </c>
      <c r="D40" s="13" t="e">
        <f>'CW&amp;Projects'!G40</f>
        <v>#DIV/0!</v>
      </c>
      <c r="E40" s="13" t="e">
        <f>'HW&amp;Projects'!G40</f>
        <v>#DIV/0!</v>
      </c>
      <c r="F40" s="30"/>
      <c r="G40" s="17" t="e">
        <f t="shared" si="0"/>
        <v>#DIV/0!</v>
      </c>
    </row>
  </sheetData>
  <sheetProtection algorithmName="SHA-512" hashValue="7N4QRnmMd3m3H9cQRd+/UgUfz5xX277n1QDpTpUTZHYgEKcj5Bett70dpwSGFU6M3AhzdR9j4rk+qA1JrfIO8w==" saltValue="qBoFajRx1ymNeAXLYqajrQ==" spinCount="100000" sheet="1" selectLockedCells="1" formatCells="0" formatColumns="0" formatRows="0" objects="1" scenarios="1"/>
  <mergeCells count="1">
    <mergeCell ref="C3:G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40"/>
  <sheetViews>
    <sheetView topLeftCell="A22" workbookViewId="0">
      <selection activeCell="F26" sqref="F26"/>
    </sheetView>
  </sheetViews>
  <sheetFormatPr defaultColWidth="9" defaultRowHeight="15"/>
  <cols>
    <col min="2" max="2" width="50.4571428571429" customWidth="1"/>
    <col min="12" max="15" width="9" hidden="1" customWidth="1"/>
  </cols>
  <sheetData>
    <row r="2" spans="2:7">
      <c r="B2" s="1" t="str">
        <f>'Final Results'!B2</f>
        <v>First Mid-Term Exam (AY 2025-2026)</v>
      </c>
      <c r="C2" s="2"/>
      <c r="D2" s="3" t="s">
        <v>1</v>
      </c>
      <c r="E2" s="4">
        <f>'Final Results'!E2</f>
        <v>1</v>
      </c>
      <c r="F2" s="3" t="s">
        <v>2</v>
      </c>
      <c r="G2" s="4" t="str">
        <f>'Final Results'!G2</f>
        <v>A</v>
      </c>
    </row>
    <row r="3" spans="2:7">
      <c r="B3" s="5" t="s">
        <v>4</v>
      </c>
      <c r="C3" s="4" t="str">
        <f>'Final Results'!C3:G3</f>
        <v>Ms Patience</v>
      </c>
      <c r="D3" s="4"/>
      <c r="E3" s="4"/>
      <c r="F3" s="4"/>
      <c r="G3" s="4"/>
    </row>
    <row r="4" spans="1:7">
      <c r="A4" s="13" t="s">
        <v>6</v>
      </c>
      <c r="B4" s="13" t="s">
        <v>7</v>
      </c>
      <c r="C4" s="13" t="s">
        <v>73</v>
      </c>
      <c r="D4" s="13" t="s">
        <v>74</v>
      </c>
      <c r="E4" s="13" t="s">
        <v>75</v>
      </c>
      <c r="F4" s="13" t="s">
        <v>76</v>
      </c>
      <c r="G4" s="13" t="s">
        <v>12</v>
      </c>
    </row>
    <row r="5" spans="1:7">
      <c r="A5" s="13"/>
      <c r="B5" s="14" t="s">
        <v>77</v>
      </c>
      <c r="C5" s="15">
        <v>20</v>
      </c>
      <c r="D5" s="15">
        <v>20</v>
      </c>
      <c r="E5" s="15">
        <v>20</v>
      </c>
      <c r="F5" s="15">
        <v>20</v>
      </c>
      <c r="G5" s="13">
        <v>20</v>
      </c>
    </row>
    <row r="6" ht="15.75" spans="1:15">
      <c r="A6" s="13" t="str">
        <f>'Final Results'!A6</f>
        <v>1-</v>
      </c>
      <c r="B6" s="13" t="str">
        <f>'Final Results'!B6</f>
        <v>Abdul Manan Nour</v>
      </c>
      <c r="C6" s="16">
        <v>20</v>
      </c>
      <c r="D6" s="16">
        <v>19</v>
      </c>
      <c r="E6" s="9">
        <v>18</v>
      </c>
      <c r="F6" s="9">
        <v>20</v>
      </c>
      <c r="G6" s="17">
        <f>MAX(C6:F6)</f>
        <v>20</v>
      </c>
      <c r="H6" s="15"/>
      <c r="I6" s="15"/>
      <c r="L6">
        <f>C6/$C$5</f>
        <v>1</v>
      </c>
      <c r="M6">
        <f>D6/$D$5</f>
        <v>0.95</v>
      </c>
      <c r="N6">
        <f>E6/$E$5</f>
        <v>0.9</v>
      </c>
      <c r="O6">
        <f>F6/$F$5</f>
        <v>1</v>
      </c>
    </row>
    <row r="7" ht="15.75" spans="1:15">
      <c r="A7" s="13" t="str">
        <f>'Final Results'!A7</f>
        <v>2-</v>
      </c>
      <c r="B7" s="13" t="str">
        <f>'Final Results'!B7</f>
        <v>Abdullah Mohamed Akrim</v>
      </c>
      <c r="C7" s="18">
        <v>20</v>
      </c>
      <c r="D7" s="18">
        <v>20</v>
      </c>
      <c r="E7" s="9">
        <v>20</v>
      </c>
      <c r="F7" s="9">
        <v>20</v>
      </c>
      <c r="G7" s="17">
        <f t="shared" ref="G7:G40" si="0">MAX(C7:F7)</f>
        <v>20</v>
      </c>
      <c r="L7">
        <f t="shared" ref="L7:L40" si="1">C7/$C$5</f>
        <v>1</v>
      </c>
      <c r="M7">
        <f t="shared" ref="M7:M40" si="2">D7/$D$5</f>
        <v>1</v>
      </c>
      <c r="N7">
        <f t="shared" ref="N7:N40" si="3">E7/$E$5</f>
        <v>1</v>
      </c>
      <c r="O7">
        <f t="shared" ref="O7:O40" si="4">F7/$F$5</f>
        <v>1</v>
      </c>
    </row>
    <row r="8" ht="15.75" spans="1:15">
      <c r="A8" s="13" t="str">
        <f>'Final Results'!A8</f>
        <v>3-</v>
      </c>
      <c r="B8" s="13" t="str">
        <f>'Final Results'!B8</f>
        <v>Ahmad Ammar mohammed</v>
      </c>
      <c r="C8" s="18">
        <v>20</v>
      </c>
      <c r="D8" s="18">
        <v>20</v>
      </c>
      <c r="E8" s="9">
        <v>20</v>
      </c>
      <c r="F8" s="9">
        <v>20</v>
      </c>
      <c r="G8" s="17">
        <f t="shared" si="0"/>
        <v>20</v>
      </c>
      <c r="L8">
        <f t="shared" si="1"/>
        <v>1</v>
      </c>
      <c r="M8">
        <f t="shared" si="2"/>
        <v>1</v>
      </c>
      <c r="N8">
        <f t="shared" si="3"/>
        <v>1</v>
      </c>
      <c r="O8">
        <f t="shared" si="4"/>
        <v>1</v>
      </c>
    </row>
    <row r="9" ht="15.75" spans="1:15">
      <c r="A9" s="13" t="str">
        <f>'Final Results'!A9</f>
        <v>4-</v>
      </c>
      <c r="B9" s="13" t="str">
        <f>'Final Results'!B9</f>
        <v>Farida Ghofran</v>
      </c>
      <c r="C9" s="18">
        <v>20</v>
      </c>
      <c r="D9" s="18">
        <v>20</v>
      </c>
      <c r="E9" s="9">
        <v>20</v>
      </c>
      <c r="F9" s="9">
        <v>20</v>
      </c>
      <c r="G9" s="17">
        <f t="shared" si="0"/>
        <v>20</v>
      </c>
      <c r="L9">
        <f t="shared" si="1"/>
        <v>1</v>
      </c>
      <c r="M9">
        <f t="shared" si="2"/>
        <v>1</v>
      </c>
      <c r="N9">
        <f t="shared" si="3"/>
        <v>1</v>
      </c>
      <c r="O9">
        <f t="shared" si="4"/>
        <v>1</v>
      </c>
    </row>
    <row r="10" ht="15.75" spans="1:15">
      <c r="A10" s="13" t="str">
        <f>'Final Results'!A10</f>
        <v>5-</v>
      </c>
      <c r="B10" s="13" t="str">
        <f>'Final Results'!B10</f>
        <v>Jwan Ayman Hashiam</v>
      </c>
      <c r="C10" s="18">
        <v>20</v>
      </c>
      <c r="D10" s="18">
        <v>19</v>
      </c>
      <c r="E10" s="9">
        <v>20</v>
      </c>
      <c r="F10" s="9">
        <v>19</v>
      </c>
      <c r="G10" s="17">
        <f t="shared" si="0"/>
        <v>20</v>
      </c>
      <c r="L10">
        <f t="shared" si="1"/>
        <v>1</v>
      </c>
      <c r="M10">
        <f t="shared" si="2"/>
        <v>0.95</v>
      </c>
      <c r="N10">
        <f t="shared" si="3"/>
        <v>1</v>
      </c>
      <c r="O10">
        <f t="shared" si="4"/>
        <v>0.95</v>
      </c>
    </row>
    <row r="11" ht="15.75" spans="1:15">
      <c r="A11" s="13" t="str">
        <f>'Final Results'!A11</f>
        <v>6-</v>
      </c>
      <c r="B11" s="13" t="str">
        <f>'Final Results'!B11</f>
        <v>Ayla Ahmad</v>
      </c>
      <c r="C11" s="18">
        <v>20</v>
      </c>
      <c r="D11" s="18">
        <v>18</v>
      </c>
      <c r="E11" s="9">
        <v>20</v>
      </c>
      <c r="F11" s="9">
        <v>20</v>
      </c>
      <c r="G11" s="17">
        <f t="shared" si="0"/>
        <v>20</v>
      </c>
      <c r="L11">
        <f t="shared" si="1"/>
        <v>1</v>
      </c>
      <c r="M11">
        <f t="shared" si="2"/>
        <v>0.9</v>
      </c>
      <c r="N11">
        <f t="shared" si="3"/>
        <v>1</v>
      </c>
      <c r="O11">
        <f t="shared" si="4"/>
        <v>1</v>
      </c>
    </row>
    <row r="12" ht="15.75" spans="1:15">
      <c r="A12" s="13" t="str">
        <f>'Final Results'!A12</f>
        <v>7-</v>
      </c>
      <c r="B12" s="13" t="str">
        <f>'Final Results'!B12</f>
        <v>Leen Ahmed Fekry</v>
      </c>
      <c r="C12" s="18">
        <v>20</v>
      </c>
      <c r="D12" s="18">
        <v>20</v>
      </c>
      <c r="E12" s="9">
        <v>20</v>
      </c>
      <c r="F12" s="9">
        <v>20</v>
      </c>
      <c r="G12" s="17">
        <f t="shared" si="0"/>
        <v>20</v>
      </c>
      <c r="L12">
        <f t="shared" si="1"/>
        <v>1</v>
      </c>
      <c r="M12">
        <f t="shared" si="2"/>
        <v>1</v>
      </c>
      <c r="N12">
        <f t="shared" si="3"/>
        <v>1</v>
      </c>
      <c r="O12">
        <f t="shared" si="4"/>
        <v>1</v>
      </c>
    </row>
    <row r="13" ht="15.75" spans="1:15">
      <c r="A13" s="13" t="str">
        <f>'Final Results'!A13</f>
        <v>8-</v>
      </c>
      <c r="B13" s="13" t="str">
        <f>'Final Results'!B13</f>
        <v>Muhd. Faris suleman</v>
      </c>
      <c r="C13" s="18">
        <v>20</v>
      </c>
      <c r="D13" s="18">
        <v>20</v>
      </c>
      <c r="E13" s="9">
        <v>20</v>
      </c>
      <c r="F13" s="9">
        <v>20</v>
      </c>
      <c r="G13" s="17">
        <f t="shared" si="0"/>
        <v>20</v>
      </c>
      <c r="L13">
        <f t="shared" si="1"/>
        <v>1</v>
      </c>
      <c r="M13">
        <f t="shared" si="2"/>
        <v>1</v>
      </c>
      <c r="N13">
        <f t="shared" si="3"/>
        <v>1</v>
      </c>
      <c r="O13">
        <f t="shared" si="4"/>
        <v>1</v>
      </c>
    </row>
    <row r="14" ht="15.75" spans="1:15">
      <c r="A14" s="13" t="str">
        <f>'Final Results'!A14</f>
        <v>9-</v>
      </c>
      <c r="B14" s="13" t="str">
        <f>'Final Results'!B14</f>
        <v>Maheen Fatima Shoaib</v>
      </c>
      <c r="C14" s="18">
        <v>20</v>
      </c>
      <c r="D14" s="18">
        <v>20</v>
      </c>
      <c r="E14" s="9">
        <v>20</v>
      </c>
      <c r="F14" s="9">
        <v>20</v>
      </c>
      <c r="G14" s="17">
        <f t="shared" si="0"/>
        <v>20</v>
      </c>
      <c r="L14">
        <f t="shared" si="1"/>
        <v>1</v>
      </c>
      <c r="M14">
        <f t="shared" si="2"/>
        <v>1</v>
      </c>
      <c r="N14">
        <f t="shared" si="3"/>
        <v>1</v>
      </c>
      <c r="O14">
        <f t="shared" si="4"/>
        <v>1</v>
      </c>
    </row>
    <row r="15" ht="15.75" spans="1:15">
      <c r="A15" s="13" t="str">
        <f>'Final Results'!A15</f>
        <v>10-</v>
      </c>
      <c r="B15" s="13" t="str">
        <f>'Final Results'!B15</f>
        <v>Malek Mohamed</v>
      </c>
      <c r="C15" s="18">
        <v>19</v>
      </c>
      <c r="D15" s="18">
        <v>20</v>
      </c>
      <c r="E15" s="9">
        <v>20</v>
      </c>
      <c r="F15" s="9">
        <v>20</v>
      </c>
      <c r="G15" s="17">
        <f t="shared" si="0"/>
        <v>20</v>
      </c>
      <c r="L15">
        <f t="shared" si="1"/>
        <v>0.95</v>
      </c>
      <c r="M15">
        <f t="shared" si="2"/>
        <v>1</v>
      </c>
      <c r="N15">
        <f t="shared" si="3"/>
        <v>1</v>
      </c>
      <c r="O15">
        <f t="shared" si="4"/>
        <v>1</v>
      </c>
    </row>
    <row r="16" ht="15.75" spans="1:15">
      <c r="A16" s="13" t="str">
        <f>'Final Results'!A16</f>
        <v>11-</v>
      </c>
      <c r="B16" s="13" t="str">
        <f>'Final Results'!B16</f>
        <v>Mariam Abusnaina</v>
      </c>
      <c r="C16" s="18">
        <v>19</v>
      </c>
      <c r="D16" s="18">
        <v>20</v>
      </c>
      <c r="E16" s="9">
        <v>20</v>
      </c>
      <c r="F16" s="9">
        <v>20</v>
      </c>
      <c r="G16" s="17">
        <f t="shared" si="0"/>
        <v>20</v>
      </c>
      <c r="L16">
        <f t="shared" si="1"/>
        <v>0.95</v>
      </c>
      <c r="M16">
        <f t="shared" si="2"/>
        <v>1</v>
      </c>
      <c r="N16">
        <f t="shared" si="3"/>
        <v>1</v>
      </c>
      <c r="O16">
        <f t="shared" si="4"/>
        <v>1</v>
      </c>
    </row>
    <row r="17" ht="15.75" spans="1:15">
      <c r="A17" s="13" t="str">
        <f>'Final Results'!A17</f>
        <v>12-</v>
      </c>
      <c r="B17" s="13" t="str">
        <f>'Final Results'!B17</f>
        <v>Moath Mostafa Essam</v>
      </c>
      <c r="C17" s="18">
        <v>20</v>
      </c>
      <c r="D17" s="18">
        <v>20</v>
      </c>
      <c r="E17" s="9">
        <v>20</v>
      </c>
      <c r="F17" s="9">
        <v>20</v>
      </c>
      <c r="G17" s="17">
        <f t="shared" si="0"/>
        <v>20</v>
      </c>
      <c r="L17">
        <f t="shared" si="1"/>
        <v>1</v>
      </c>
      <c r="M17">
        <f t="shared" si="2"/>
        <v>1</v>
      </c>
      <c r="N17">
        <f t="shared" si="3"/>
        <v>1</v>
      </c>
      <c r="O17">
        <f t="shared" si="4"/>
        <v>1</v>
      </c>
    </row>
    <row r="18" ht="15.75" spans="1:15">
      <c r="A18" s="13" t="str">
        <f>'Final Results'!A18</f>
        <v>13-</v>
      </c>
      <c r="B18" s="13" t="str">
        <f>'Final Results'!B18</f>
        <v>Muhammad Ayaan Sohaib</v>
      </c>
      <c r="C18" s="18">
        <v>20</v>
      </c>
      <c r="D18" s="18">
        <v>20</v>
      </c>
      <c r="E18" s="9">
        <v>20</v>
      </c>
      <c r="F18" s="9">
        <v>20</v>
      </c>
      <c r="G18" s="17">
        <f t="shared" si="0"/>
        <v>20</v>
      </c>
      <c r="L18">
        <f t="shared" si="1"/>
        <v>1</v>
      </c>
      <c r="M18">
        <f t="shared" si="2"/>
        <v>1</v>
      </c>
      <c r="N18">
        <f t="shared" si="3"/>
        <v>1</v>
      </c>
      <c r="O18">
        <f t="shared" si="4"/>
        <v>1</v>
      </c>
    </row>
    <row r="19" ht="15.75" spans="1:15">
      <c r="A19" s="13" t="str">
        <f>'Final Results'!A19</f>
        <v>14-</v>
      </c>
      <c r="B19" s="13" t="str">
        <f>'Final Results'!B19</f>
        <v>Muhammad Mujtaba Sohaib</v>
      </c>
      <c r="C19" s="18">
        <v>20</v>
      </c>
      <c r="D19" s="18">
        <v>20</v>
      </c>
      <c r="E19" s="9">
        <v>19</v>
      </c>
      <c r="F19" s="9">
        <v>20</v>
      </c>
      <c r="G19" s="17">
        <f t="shared" si="0"/>
        <v>20</v>
      </c>
      <c r="L19">
        <f t="shared" si="1"/>
        <v>1</v>
      </c>
      <c r="M19">
        <f t="shared" si="2"/>
        <v>1</v>
      </c>
      <c r="N19">
        <f t="shared" si="3"/>
        <v>0.95</v>
      </c>
      <c r="O19">
        <f t="shared" si="4"/>
        <v>1</v>
      </c>
    </row>
    <row r="20" ht="15.75" spans="1:15">
      <c r="A20" s="13" t="str">
        <f>'Final Results'!A20</f>
        <v>15-</v>
      </c>
      <c r="B20" s="13" t="str">
        <f>'Final Results'!B20</f>
        <v>Muhammad Salar Khan</v>
      </c>
      <c r="C20" s="18">
        <v>20</v>
      </c>
      <c r="D20" s="18">
        <v>20</v>
      </c>
      <c r="E20" s="9">
        <v>20</v>
      </c>
      <c r="F20" s="9">
        <v>20</v>
      </c>
      <c r="G20" s="17">
        <f t="shared" si="0"/>
        <v>20</v>
      </c>
      <c r="L20">
        <f t="shared" si="1"/>
        <v>1</v>
      </c>
      <c r="M20">
        <f t="shared" si="2"/>
        <v>1</v>
      </c>
      <c r="N20">
        <f t="shared" si="3"/>
        <v>1</v>
      </c>
      <c r="O20">
        <f t="shared" si="4"/>
        <v>1</v>
      </c>
    </row>
    <row r="21" ht="15.75" spans="1:15">
      <c r="A21" s="13" t="str">
        <f>'Final Results'!A21</f>
        <v>16-</v>
      </c>
      <c r="B21" s="13" t="str">
        <f>'Final Results'!B21</f>
        <v>Nellie Mostafa Magdy</v>
      </c>
      <c r="C21" s="18">
        <v>18</v>
      </c>
      <c r="D21" s="18">
        <v>20</v>
      </c>
      <c r="E21" s="9">
        <v>19</v>
      </c>
      <c r="F21" s="9">
        <v>20</v>
      </c>
      <c r="G21" s="17">
        <f t="shared" si="0"/>
        <v>20</v>
      </c>
      <c r="L21">
        <f t="shared" si="1"/>
        <v>0.9</v>
      </c>
      <c r="M21">
        <f t="shared" si="2"/>
        <v>1</v>
      </c>
      <c r="N21">
        <f t="shared" si="3"/>
        <v>0.95</v>
      </c>
      <c r="O21">
        <f t="shared" si="4"/>
        <v>1</v>
      </c>
    </row>
    <row r="22" ht="15.75" spans="1:15">
      <c r="A22" s="13" t="str">
        <f>'Final Results'!A22</f>
        <v>17-</v>
      </c>
      <c r="B22" s="13" t="str">
        <f>'Final Results'!B22</f>
        <v>Nooryn Omer Hasan</v>
      </c>
      <c r="C22" s="18">
        <v>20</v>
      </c>
      <c r="D22" s="18">
        <v>20</v>
      </c>
      <c r="E22" s="9">
        <v>20</v>
      </c>
      <c r="F22" s="9">
        <v>20</v>
      </c>
      <c r="G22" s="17">
        <f t="shared" si="0"/>
        <v>20</v>
      </c>
      <c r="L22">
        <f t="shared" si="1"/>
        <v>1</v>
      </c>
      <c r="M22">
        <f t="shared" si="2"/>
        <v>1</v>
      </c>
      <c r="N22">
        <f t="shared" si="3"/>
        <v>1</v>
      </c>
      <c r="O22">
        <f t="shared" si="4"/>
        <v>1</v>
      </c>
    </row>
    <row r="23" ht="15.75" spans="1:15">
      <c r="A23" s="13" t="str">
        <f>'Final Results'!A23</f>
        <v>18-</v>
      </c>
      <c r="B23" s="13" t="str">
        <f>'Final Results'!B23</f>
        <v>Rayaan Ahmed Resk</v>
      </c>
      <c r="C23" s="18">
        <v>20</v>
      </c>
      <c r="D23" s="18">
        <v>20</v>
      </c>
      <c r="E23" s="9">
        <v>20</v>
      </c>
      <c r="F23" s="9">
        <v>20</v>
      </c>
      <c r="G23" s="17">
        <f t="shared" si="0"/>
        <v>20</v>
      </c>
      <c r="L23">
        <f t="shared" si="1"/>
        <v>1</v>
      </c>
      <c r="M23">
        <f t="shared" si="2"/>
        <v>1</v>
      </c>
      <c r="N23">
        <f t="shared" si="3"/>
        <v>1</v>
      </c>
      <c r="O23">
        <f t="shared" si="4"/>
        <v>1</v>
      </c>
    </row>
    <row r="24" ht="15.75" spans="1:15">
      <c r="A24" s="13" t="str">
        <f>'Final Results'!A24</f>
        <v>19-</v>
      </c>
      <c r="B24" s="13" t="str">
        <f>'Final Results'!B24</f>
        <v>Ryan Sherif Ramadan</v>
      </c>
      <c r="C24" s="18">
        <v>19</v>
      </c>
      <c r="D24" s="18">
        <v>20</v>
      </c>
      <c r="E24" s="9">
        <v>20</v>
      </c>
      <c r="F24" s="9">
        <v>20</v>
      </c>
      <c r="G24" s="17">
        <f t="shared" si="0"/>
        <v>20</v>
      </c>
      <c r="L24">
        <f t="shared" si="1"/>
        <v>0.95</v>
      </c>
      <c r="M24">
        <f t="shared" si="2"/>
        <v>1</v>
      </c>
      <c r="N24">
        <f t="shared" si="3"/>
        <v>1</v>
      </c>
      <c r="O24">
        <f t="shared" si="4"/>
        <v>1</v>
      </c>
    </row>
    <row r="25" ht="15.75" spans="1:15">
      <c r="A25" s="13" t="str">
        <f>'Final Results'!A25</f>
        <v>20-</v>
      </c>
      <c r="B25" s="13" t="str">
        <f>'Final Results'!B25</f>
        <v>Reem Sudqi Azmi</v>
      </c>
      <c r="C25" s="18">
        <v>20</v>
      </c>
      <c r="D25" s="18">
        <v>20</v>
      </c>
      <c r="E25" s="9">
        <v>20</v>
      </c>
      <c r="F25" s="9">
        <v>20</v>
      </c>
      <c r="G25" s="17">
        <f t="shared" si="0"/>
        <v>20</v>
      </c>
      <c r="L25">
        <f t="shared" si="1"/>
        <v>1</v>
      </c>
      <c r="M25">
        <f t="shared" si="2"/>
        <v>1</v>
      </c>
      <c r="N25">
        <f t="shared" si="3"/>
        <v>1</v>
      </c>
      <c r="O25">
        <f t="shared" si="4"/>
        <v>1</v>
      </c>
    </row>
    <row r="26" ht="15.75" spans="1:15">
      <c r="A26" s="13" t="str">
        <f>'Final Results'!A26</f>
        <v>21-</v>
      </c>
      <c r="B26" s="13" t="str">
        <f>'Final Results'!B26</f>
        <v>Salama Humaid Abdullah</v>
      </c>
      <c r="C26" s="18">
        <v>20</v>
      </c>
      <c r="D26" s="18">
        <v>19</v>
      </c>
      <c r="E26" s="9">
        <v>20</v>
      </c>
      <c r="F26" s="9">
        <v>20</v>
      </c>
      <c r="G26" s="17">
        <f t="shared" si="0"/>
        <v>20</v>
      </c>
      <c r="L26">
        <f t="shared" si="1"/>
        <v>1</v>
      </c>
      <c r="M26">
        <f t="shared" si="2"/>
        <v>0.95</v>
      </c>
      <c r="N26">
        <f t="shared" si="3"/>
        <v>1</v>
      </c>
      <c r="O26">
        <f t="shared" si="4"/>
        <v>1</v>
      </c>
    </row>
    <row r="27" ht="15.75" spans="1:15">
      <c r="A27" s="13" t="str">
        <f>'Final Results'!A27</f>
        <v>22-</v>
      </c>
      <c r="B27" s="13" t="str">
        <f>'Final Results'!B27</f>
        <v>Teya Mustafa Mahmoud</v>
      </c>
      <c r="C27" s="18">
        <v>20</v>
      </c>
      <c r="D27" s="18">
        <v>20</v>
      </c>
      <c r="E27" s="9">
        <v>20</v>
      </c>
      <c r="F27" s="9">
        <v>20</v>
      </c>
      <c r="G27" s="17">
        <f t="shared" si="0"/>
        <v>20</v>
      </c>
      <c r="L27">
        <f t="shared" si="1"/>
        <v>1</v>
      </c>
      <c r="M27">
        <f t="shared" si="2"/>
        <v>1</v>
      </c>
      <c r="N27">
        <f t="shared" si="3"/>
        <v>1</v>
      </c>
      <c r="O27">
        <f t="shared" si="4"/>
        <v>1</v>
      </c>
    </row>
    <row r="28" ht="15.75" spans="1:15">
      <c r="A28" s="13" t="str">
        <f>'Final Results'!A28</f>
        <v>23-</v>
      </c>
      <c r="B28" s="13" t="str">
        <f>'Final Results'!B28</f>
        <v>Wahnita Tinashe</v>
      </c>
      <c r="C28" s="18">
        <v>20</v>
      </c>
      <c r="D28" s="18">
        <v>20</v>
      </c>
      <c r="E28" s="9">
        <v>20</v>
      </c>
      <c r="F28" s="9">
        <v>20</v>
      </c>
      <c r="G28" s="17">
        <f t="shared" si="0"/>
        <v>20</v>
      </c>
      <c r="L28">
        <f t="shared" si="1"/>
        <v>1</v>
      </c>
      <c r="M28">
        <f t="shared" si="2"/>
        <v>1</v>
      </c>
      <c r="N28">
        <f t="shared" si="3"/>
        <v>1</v>
      </c>
      <c r="O28">
        <f t="shared" si="4"/>
        <v>1</v>
      </c>
    </row>
    <row r="29" ht="15.75" spans="1:15">
      <c r="A29" s="13" t="str">
        <f>'Final Results'!A29</f>
        <v>24-</v>
      </c>
      <c r="B29" s="13" t="str">
        <f>'Final Results'!B29</f>
        <v>Yamen Ahmed Elsayed</v>
      </c>
      <c r="C29" s="18">
        <v>20</v>
      </c>
      <c r="D29" s="18">
        <v>20</v>
      </c>
      <c r="E29" s="9">
        <v>20</v>
      </c>
      <c r="F29" s="9">
        <v>20</v>
      </c>
      <c r="G29" s="17">
        <f t="shared" si="0"/>
        <v>20</v>
      </c>
      <c r="L29">
        <f t="shared" si="1"/>
        <v>1</v>
      </c>
      <c r="M29">
        <f t="shared" si="2"/>
        <v>1</v>
      </c>
      <c r="N29">
        <f t="shared" si="3"/>
        <v>1</v>
      </c>
      <c r="O29">
        <f t="shared" si="4"/>
        <v>1</v>
      </c>
    </row>
    <row r="30" ht="15.75" spans="1:15">
      <c r="A30" s="13" t="str">
        <f>'Final Results'!A30</f>
        <v>25-</v>
      </c>
      <c r="B30" s="13" t="str">
        <f>'Final Results'!B30</f>
        <v>Zerlin Rafaqat Syed</v>
      </c>
      <c r="C30" s="18">
        <v>19</v>
      </c>
      <c r="D30" s="18">
        <v>19</v>
      </c>
      <c r="E30" s="9">
        <v>20</v>
      </c>
      <c r="F30" s="9">
        <v>20</v>
      </c>
      <c r="G30" s="17">
        <f t="shared" si="0"/>
        <v>20</v>
      </c>
      <c r="L30">
        <f t="shared" si="1"/>
        <v>0.95</v>
      </c>
      <c r="M30">
        <f t="shared" si="2"/>
        <v>0.95</v>
      </c>
      <c r="N30">
        <f t="shared" si="3"/>
        <v>1</v>
      </c>
      <c r="O30">
        <f t="shared" si="4"/>
        <v>1</v>
      </c>
    </row>
    <row r="31" ht="15.75" spans="1:15">
      <c r="A31" s="13" t="str">
        <f>'Final Results'!A31</f>
        <v>26-</v>
      </c>
      <c r="B31" s="13">
        <f>'Final Results'!B31</f>
        <v>0</v>
      </c>
      <c r="C31" s="18">
        <v>20</v>
      </c>
      <c r="D31" s="18">
        <v>20</v>
      </c>
      <c r="E31" s="9">
        <v>20</v>
      </c>
      <c r="F31" s="9">
        <v>20</v>
      </c>
      <c r="G31" s="17">
        <f t="shared" si="0"/>
        <v>20</v>
      </c>
      <c r="L31">
        <f t="shared" si="1"/>
        <v>1</v>
      </c>
      <c r="M31">
        <f t="shared" si="2"/>
        <v>1</v>
      </c>
      <c r="N31">
        <f t="shared" si="3"/>
        <v>1</v>
      </c>
      <c r="O31">
        <f t="shared" si="4"/>
        <v>1</v>
      </c>
    </row>
    <row r="32" ht="15.75" spans="1:15">
      <c r="A32" s="13" t="str">
        <f>'Final Results'!A32</f>
        <v>27-</v>
      </c>
      <c r="B32" s="13">
        <f>'Final Results'!B32</f>
        <v>0</v>
      </c>
      <c r="C32" s="18">
        <v>20</v>
      </c>
      <c r="D32" s="18">
        <v>20</v>
      </c>
      <c r="E32" s="9">
        <v>18</v>
      </c>
      <c r="F32" s="9">
        <v>20</v>
      </c>
      <c r="G32" s="17">
        <f t="shared" si="0"/>
        <v>20</v>
      </c>
      <c r="L32">
        <f t="shared" si="1"/>
        <v>1</v>
      </c>
      <c r="M32">
        <f t="shared" si="2"/>
        <v>1</v>
      </c>
      <c r="N32">
        <f t="shared" si="3"/>
        <v>0.9</v>
      </c>
      <c r="O32">
        <f t="shared" si="4"/>
        <v>1</v>
      </c>
    </row>
    <row r="33" ht="15.75" spans="1:15">
      <c r="A33" s="13" t="str">
        <f>'Final Results'!A33</f>
        <v>28-</v>
      </c>
      <c r="B33" s="13">
        <f>'Final Results'!B33</f>
        <v>0</v>
      </c>
      <c r="C33" s="18">
        <v>20</v>
      </c>
      <c r="D33" s="18">
        <v>20</v>
      </c>
      <c r="E33" s="9">
        <v>20</v>
      </c>
      <c r="F33" s="9">
        <v>20</v>
      </c>
      <c r="G33" s="17">
        <f t="shared" si="0"/>
        <v>20</v>
      </c>
      <c r="L33">
        <f t="shared" si="1"/>
        <v>1</v>
      </c>
      <c r="M33">
        <f t="shared" si="2"/>
        <v>1</v>
      </c>
      <c r="N33">
        <f t="shared" si="3"/>
        <v>1</v>
      </c>
      <c r="O33">
        <f t="shared" si="4"/>
        <v>1</v>
      </c>
    </row>
    <row r="34" spans="1:15">
      <c r="A34" s="13" t="str">
        <f>'Final Results'!A34</f>
        <v>29-</v>
      </c>
      <c r="B34" s="13">
        <f>'Final Results'!B34</f>
        <v>0</v>
      </c>
      <c r="C34" s="9">
        <v>20</v>
      </c>
      <c r="D34" s="9">
        <v>20</v>
      </c>
      <c r="E34" s="9">
        <v>20</v>
      </c>
      <c r="F34" s="9">
        <v>20</v>
      </c>
      <c r="G34" s="17">
        <f t="shared" si="0"/>
        <v>20</v>
      </c>
      <c r="L34">
        <f t="shared" si="1"/>
        <v>1</v>
      </c>
      <c r="M34">
        <f t="shared" si="2"/>
        <v>1</v>
      </c>
      <c r="N34">
        <f t="shared" si="3"/>
        <v>1</v>
      </c>
      <c r="O34">
        <f t="shared" si="4"/>
        <v>1</v>
      </c>
    </row>
    <row r="35" spans="1:15">
      <c r="A35" s="13" t="str">
        <f>'Final Results'!A35</f>
        <v>30-</v>
      </c>
      <c r="B35" s="13">
        <f>'Final Results'!B35</f>
        <v>0</v>
      </c>
      <c r="C35" s="9">
        <v>20</v>
      </c>
      <c r="D35" s="9">
        <v>20</v>
      </c>
      <c r="E35" s="9">
        <v>20</v>
      </c>
      <c r="F35" s="9">
        <v>20</v>
      </c>
      <c r="G35" s="17">
        <f t="shared" si="0"/>
        <v>20</v>
      </c>
      <c r="L35">
        <f t="shared" si="1"/>
        <v>1</v>
      </c>
      <c r="M35">
        <f t="shared" si="2"/>
        <v>1</v>
      </c>
      <c r="N35">
        <f t="shared" si="3"/>
        <v>1</v>
      </c>
      <c r="O35">
        <f t="shared" si="4"/>
        <v>1</v>
      </c>
    </row>
    <row r="36" spans="1:15">
      <c r="A36" s="13" t="str">
        <f>'Final Results'!A36</f>
        <v>31-</v>
      </c>
      <c r="B36" s="13">
        <f>'Final Results'!B36</f>
        <v>0</v>
      </c>
      <c r="C36" s="9"/>
      <c r="D36" s="9"/>
      <c r="E36" s="9"/>
      <c r="F36" s="9"/>
      <c r="G36" s="17">
        <f t="shared" si="0"/>
        <v>0</v>
      </c>
      <c r="L36">
        <f t="shared" si="1"/>
        <v>0</v>
      </c>
      <c r="M36">
        <f t="shared" si="2"/>
        <v>0</v>
      </c>
      <c r="N36">
        <f t="shared" si="3"/>
        <v>0</v>
      </c>
      <c r="O36">
        <f t="shared" si="4"/>
        <v>0</v>
      </c>
    </row>
    <row r="37" spans="1:15">
      <c r="A37" s="13" t="str">
        <f>'Final Results'!A37</f>
        <v>32-</v>
      </c>
      <c r="B37" s="13">
        <f>'Final Results'!B37</f>
        <v>0</v>
      </c>
      <c r="C37" s="9"/>
      <c r="D37" s="9"/>
      <c r="E37" s="9"/>
      <c r="F37" s="9"/>
      <c r="G37" s="17">
        <f t="shared" si="0"/>
        <v>0</v>
      </c>
      <c r="L37">
        <f t="shared" si="1"/>
        <v>0</v>
      </c>
      <c r="M37">
        <f t="shared" si="2"/>
        <v>0</v>
      </c>
      <c r="N37">
        <f t="shared" si="3"/>
        <v>0</v>
      </c>
      <c r="O37">
        <f t="shared" si="4"/>
        <v>0</v>
      </c>
    </row>
    <row r="38" spans="1:15">
      <c r="A38" s="13" t="str">
        <f>'Final Results'!A38</f>
        <v>33-</v>
      </c>
      <c r="B38" s="13">
        <f>'Final Results'!B38</f>
        <v>0</v>
      </c>
      <c r="C38" s="10"/>
      <c r="D38" s="10"/>
      <c r="E38" s="10"/>
      <c r="F38" s="10"/>
      <c r="G38" s="17">
        <f t="shared" si="0"/>
        <v>0</v>
      </c>
      <c r="L38">
        <f t="shared" si="1"/>
        <v>0</v>
      </c>
      <c r="M38">
        <f t="shared" si="2"/>
        <v>0</v>
      </c>
      <c r="N38">
        <f t="shared" si="3"/>
        <v>0</v>
      </c>
      <c r="O38">
        <f t="shared" si="4"/>
        <v>0</v>
      </c>
    </row>
    <row r="39" spans="1:15">
      <c r="A39" s="13" t="str">
        <f>'Final Results'!A39</f>
        <v>34-</v>
      </c>
      <c r="B39" s="13">
        <f>'Final Results'!B39</f>
        <v>0</v>
      </c>
      <c r="C39" s="10"/>
      <c r="D39" s="10"/>
      <c r="E39" s="10"/>
      <c r="F39" s="10"/>
      <c r="G39" s="17">
        <f t="shared" si="0"/>
        <v>0</v>
      </c>
      <c r="L39">
        <f t="shared" si="1"/>
        <v>0</v>
      </c>
      <c r="M39">
        <f t="shared" si="2"/>
        <v>0</v>
      </c>
      <c r="N39">
        <f t="shared" si="3"/>
        <v>0</v>
      </c>
      <c r="O39">
        <f t="shared" si="4"/>
        <v>0</v>
      </c>
    </row>
    <row r="40" spans="1:15">
      <c r="A40" s="13" t="str">
        <f>'Final Results'!A40</f>
        <v>35-</v>
      </c>
      <c r="B40" s="13">
        <f>'Final Results'!B40</f>
        <v>0</v>
      </c>
      <c r="C40" s="10"/>
      <c r="D40" s="10"/>
      <c r="E40" s="10"/>
      <c r="F40" s="10"/>
      <c r="G40" s="17">
        <f t="shared" si="0"/>
        <v>0</v>
      </c>
      <c r="L40">
        <f t="shared" si="1"/>
        <v>0</v>
      </c>
      <c r="M40">
        <f t="shared" si="2"/>
        <v>0</v>
      </c>
      <c r="N40">
        <f t="shared" si="3"/>
        <v>0</v>
      </c>
      <c r="O40">
        <f t="shared" si="4"/>
        <v>0</v>
      </c>
    </row>
  </sheetData>
  <sheetProtection algorithmName="SHA-512" hashValue="dk7eh+LsXxTrbvYoaiBbsMHZrn6xnUEdIbZZr0vAxaSVfSrdqxJ1VGGJI4TFzzbbkraBUHvPQtMiC+sGs9Cepg==" saltValue="7ZAOKlpeeohWGHkuq4Ua4g==" spinCount="100000" sheet="1" selectLockedCells="1" objects="1" scenarios="1"/>
  <mergeCells count="1">
    <mergeCell ref="C3:G3"/>
  </mergeCells>
  <dataValidations count="1">
    <dataValidation type="whole" operator="between" allowBlank="1" showInputMessage="1" showErrorMessage="1" error="See the rule" promptTitle="Data" prompt="Minimum 7 marks and Maximum 20 Marks" sqref="G6:G40">
      <formula1>7</formula1>
      <formula2>20</formula2>
    </dataValidation>
  </dataValidation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40"/>
  <sheetViews>
    <sheetView topLeftCell="A24" workbookViewId="0">
      <selection activeCell="C34" sqref="C34:F35"/>
    </sheetView>
  </sheetViews>
  <sheetFormatPr defaultColWidth="9" defaultRowHeight="15" outlineLevelCol="6"/>
  <cols>
    <col min="2" max="2" width="51.0857142857143" customWidth="1"/>
    <col min="7" max="7" width="7.08571428571429" customWidth="1"/>
  </cols>
  <sheetData>
    <row r="2" spans="2:7">
      <c r="B2" s="1" t="str">
        <f>'Final Results'!B2</f>
        <v>First Mid-Term Exam (AY 2025-2026)</v>
      </c>
      <c r="C2" s="2"/>
      <c r="D2" s="3" t="s">
        <v>1</v>
      </c>
      <c r="E2" s="4">
        <f>'Final Results'!E2</f>
        <v>1</v>
      </c>
      <c r="F2" s="3" t="s">
        <v>2</v>
      </c>
      <c r="G2" s="4" t="str">
        <f>'Final Results'!G2</f>
        <v>A</v>
      </c>
    </row>
    <row r="3" spans="2:7">
      <c r="B3" s="5" t="s">
        <v>4</v>
      </c>
      <c r="C3" s="4" t="str">
        <f>'Final Results'!C3:G3</f>
        <v>Ms Patience</v>
      </c>
      <c r="D3" s="4"/>
      <c r="E3" s="4"/>
      <c r="F3" s="4"/>
      <c r="G3" s="4"/>
    </row>
    <row r="4" spans="1:7">
      <c r="A4" s="6" t="s">
        <v>6</v>
      </c>
      <c r="B4" s="6" t="s">
        <v>7</v>
      </c>
      <c r="C4" s="6" t="s">
        <v>78</v>
      </c>
      <c r="D4" s="6" t="s">
        <v>79</v>
      </c>
      <c r="E4" s="6" t="s">
        <v>80</v>
      </c>
      <c r="F4" s="6" t="s">
        <v>81</v>
      </c>
      <c r="G4" s="6" t="s">
        <v>12</v>
      </c>
    </row>
    <row r="5" spans="1:7">
      <c r="A5" s="6"/>
      <c r="B5" s="7" t="s">
        <v>77</v>
      </c>
      <c r="C5" s="6">
        <v>10</v>
      </c>
      <c r="D5" s="6">
        <v>10</v>
      </c>
      <c r="E5" s="6">
        <v>10</v>
      </c>
      <c r="F5" s="6">
        <v>10</v>
      </c>
      <c r="G5" s="6"/>
    </row>
    <row r="6" spans="1:7">
      <c r="A6" s="6" t="str">
        <f>'Final Results'!A6</f>
        <v>1-</v>
      </c>
      <c r="B6" s="6" t="str">
        <f>'Final Results'!B6</f>
        <v>Abdul Manan Nour</v>
      </c>
      <c r="C6" s="8">
        <v>10</v>
      </c>
      <c r="D6" s="8">
        <v>10</v>
      </c>
      <c r="E6" s="8">
        <v>10</v>
      </c>
      <c r="F6" s="8">
        <v>10</v>
      </c>
      <c r="G6" s="6">
        <f>MAX(ROUNDUP(AVERAGE(C6:F6),0),7)</f>
        <v>10</v>
      </c>
    </row>
    <row r="7" spans="1:7">
      <c r="A7" s="6" t="str">
        <f>'Final Results'!A7</f>
        <v>2-</v>
      </c>
      <c r="B7" s="11" t="str">
        <f>'Final Results'!B7</f>
        <v>Abdullah Mohamed Akrim</v>
      </c>
      <c r="C7" s="8">
        <v>10</v>
      </c>
      <c r="D7" s="8">
        <v>10</v>
      </c>
      <c r="E7" s="8">
        <v>10</v>
      </c>
      <c r="F7" s="8">
        <v>10</v>
      </c>
      <c r="G7" s="6">
        <f t="shared" ref="G7:G40" si="0">MAX(ROUNDUP(AVERAGE(C7:F7),0),7)</f>
        <v>10</v>
      </c>
    </row>
    <row r="8" spans="1:7">
      <c r="A8" s="6" t="str">
        <f>'Final Results'!A8</f>
        <v>3-</v>
      </c>
      <c r="B8" s="11" t="str">
        <f>'Final Results'!B8</f>
        <v>Ahmad Ammar mohammed</v>
      </c>
      <c r="C8" s="8">
        <v>10</v>
      </c>
      <c r="D8" s="8">
        <v>10</v>
      </c>
      <c r="E8" s="8">
        <v>10</v>
      </c>
      <c r="F8" s="8">
        <v>10</v>
      </c>
      <c r="G8" s="6">
        <f t="shared" si="0"/>
        <v>10</v>
      </c>
    </row>
    <row r="9" spans="1:7">
      <c r="A9" s="6" t="str">
        <f>'Final Results'!A9</f>
        <v>4-</v>
      </c>
      <c r="B9" s="11" t="str">
        <f>'Final Results'!B9</f>
        <v>Farida Ghofran</v>
      </c>
      <c r="C9" s="8">
        <v>10</v>
      </c>
      <c r="D9" s="8">
        <v>10</v>
      </c>
      <c r="E9" s="8">
        <v>10</v>
      </c>
      <c r="F9" s="8">
        <v>10</v>
      </c>
      <c r="G9" s="6">
        <f t="shared" si="0"/>
        <v>10</v>
      </c>
    </row>
    <row r="10" spans="1:7">
      <c r="A10" s="6" t="str">
        <f>'Final Results'!A10</f>
        <v>5-</v>
      </c>
      <c r="B10" s="11" t="str">
        <f>'Final Results'!B10</f>
        <v>Jwan Ayman Hashiam</v>
      </c>
      <c r="C10" s="8">
        <v>10</v>
      </c>
      <c r="D10" s="8">
        <v>10</v>
      </c>
      <c r="E10" s="8">
        <v>10</v>
      </c>
      <c r="F10" s="8">
        <v>10</v>
      </c>
      <c r="G10" s="6">
        <f t="shared" si="0"/>
        <v>10</v>
      </c>
    </row>
    <row r="11" spans="1:7">
      <c r="A11" s="6" t="str">
        <f>'Final Results'!A11</f>
        <v>6-</v>
      </c>
      <c r="B11" s="11" t="str">
        <f>'Final Results'!B11</f>
        <v>Ayla Ahmad</v>
      </c>
      <c r="C11" s="8">
        <v>10</v>
      </c>
      <c r="D11" s="8">
        <v>10</v>
      </c>
      <c r="E11" s="8">
        <v>10</v>
      </c>
      <c r="F11" s="8">
        <v>10</v>
      </c>
      <c r="G11" s="6">
        <f t="shared" si="0"/>
        <v>10</v>
      </c>
    </row>
    <row r="12" spans="1:7">
      <c r="A12" s="6" t="str">
        <f>'Final Results'!A12</f>
        <v>7-</v>
      </c>
      <c r="B12" s="11" t="str">
        <f>'Final Results'!B12</f>
        <v>Leen Ahmed Fekry</v>
      </c>
      <c r="C12" s="8">
        <v>10</v>
      </c>
      <c r="D12" s="8">
        <v>10</v>
      </c>
      <c r="E12" s="8">
        <v>10</v>
      </c>
      <c r="F12" s="8">
        <v>10</v>
      </c>
      <c r="G12" s="6">
        <f t="shared" si="0"/>
        <v>10</v>
      </c>
    </row>
    <row r="13" spans="1:7">
      <c r="A13" s="6" t="str">
        <f>'Final Results'!A13</f>
        <v>8-</v>
      </c>
      <c r="B13" s="11" t="str">
        <f>'Final Results'!B13</f>
        <v>Muhd. Faris suleman</v>
      </c>
      <c r="C13" s="8">
        <v>10</v>
      </c>
      <c r="D13" s="8">
        <v>10</v>
      </c>
      <c r="E13" s="8">
        <v>10</v>
      </c>
      <c r="F13" s="8">
        <v>10</v>
      </c>
      <c r="G13" s="6">
        <f t="shared" si="0"/>
        <v>10</v>
      </c>
    </row>
    <row r="14" spans="1:7">
      <c r="A14" s="6" t="str">
        <f>'Final Results'!A14</f>
        <v>9-</v>
      </c>
      <c r="B14" s="11" t="str">
        <f>'Final Results'!B14</f>
        <v>Maheen Fatima Shoaib</v>
      </c>
      <c r="C14" s="8">
        <v>10</v>
      </c>
      <c r="D14" s="8">
        <v>10</v>
      </c>
      <c r="E14" s="8">
        <v>10</v>
      </c>
      <c r="F14" s="8">
        <v>10</v>
      </c>
      <c r="G14" s="6">
        <f t="shared" si="0"/>
        <v>10</v>
      </c>
    </row>
    <row r="15" spans="1:7">
      <c r="A15" s="6" t="str">
        <f>'Final Results'!A15</f>
        <v>10-</v>
      </c>
      <c r="B15" s="11" t="str">
        <f>'Final Results'!B15</f>
        <v>Malek Mohamed</v>
      </c>
      <c r="C15" s="8">
        <v>10</v>
      </c>
      <c r="D15" s="8">
        <v>10</v>
      </c>
      <c r="E15" s="8">
        <v>10</v>
      </c>
      <c r="F15" s="8">
        <v>10</v>
      </c>
      <c r="G15" s="6">
        <f t="shared" si="0"/>
        <v>10</v>
      </c>
    </row>
    <row r="16" spans="1:7">
      <c r="A16" s="6" t="str">
        <f>'Final Results'!A16</f>
        <v>11-</v>
      </c>
      <c r="B16" s="11" t="str">
        <f>'Final Results'!B16</f>
        <v>Mariam Abusnaina</v>
      </c>
      <c r="C16" s="8">
        <v>10</v>
      </c>
      <c r="D16" s="8">
        <v>10</v>
      </c>
      <c r="E16" s="8">
        <v>10</v>
      </c>
      <c r="F16" s="8">
        <v>10</v>
      </c>
      <c r="G16" s="6">
        <f t="shared" si="0"/>
        <v>10</v>
      </c>
    </row>
    <row r="17" spans="1:7">
      <c r="A17" s="6" t="str">
        <f>'Final Results'!A17</f>
        <v>12-</v>
      </c>
      <c r="B17" s="11" t="str">
        <f>'Final Results'!B17</f>
        <v>Moath Mostafa Essam</v>
      </c>
      <c r="C17" s="8">
        <v>10</v>
      </c>
      <c r="D17" s="8">
        <v>10</v>
      </c>
      <c r="E17" s="8">
        <v>10</v>
      </c>
      <c r="F17" s="8">
        <v>10</v>
      </c>
      <c r="G17" s="6">
        <f t="shared" si="0"/>
        <v>10</v>
      </c>
    </row>
    <row r="18" spans="1:7">
      <c r="A18" s="6" t="str">
        <f>'Final Results'!A18</f>
        <v>13-</v>
      </c>
      <c r="B18" s="11" t="str">
        <f>'Final Results'!B18</f>
        <v>Muhammad Ayaan Sohaib</v>
      </c>
      <c r="C18" s="8">
        <v>10</v>
      </c>
      <c r="D18" s="8">
        <v>10</v>
      </c>
      <c r="E18" s="8">
        <v>10</v>
      </c>
      <c r="F18" s="8">
        <v>10</v>
      </c>
      <c r="G18" s="6">
        <f t="shared" si="0"/>
        <v>10</v>
      </c>
    </row>
    <row r="19" spans="1:7">
      <c r="A19" s="6" t="str">
        <f>'Final Results'!A19</f>
        <v>14-</v>
      </c>
      <c r="B19" s="11" t="str">
        <f>'Final Results'!B19</f>
        <v>Muhammad Mujtaba Sohaib</v>
      </c>
      <c r="C19" s="8">
        <v>10</v>
      </c>
      <c r="D19" s="8">
        <v>10</v>
      </c>
      <c r="E19" s="8">
        <v>10</v>
      </c>
      <c r="F19" s="8">
        <v>10</v>
      </c>
      <c r="G19" s="6">
        <f t="shared" si="0"/>
        <v>10</v>
      </c>
    </row>
    <row r="20" spans="1:7">
      <c r="A20" s="6" t="str">
        <f>'Final Results'!A20</f>
        <v>15-</v>
      </c>
      <c r="B20" s="11" t="str">
        <f>'Final Results'!B20</f>
        <v>Muhammad Salar Khan</v>
      </c>
      <c r="C20" s="8">
        <v>10</v>
      </c>
      <c r="D20" s="8">
        <v>10</v>
      </c>
      <c r="E20" s="8">
        <v>10</v>
      </c>
      <c r="F20" s="8">
        <v>10</v>
      </c>
      <c r="G20" s="6">
        <f t="shared" si="0"/>
        <v>10</v>
      </c>
    </row>
    <row r="21" spans="1:7">
      <c r="A21" s="6" t="str">
        <f>'Final Results'!A21</f>
        <v>16-</v>
      </c>
      <c r="B21" s="11" t="str">
        <f>'Final Results'!B21</f>
        <v>Nellie Mostafa Magdy</v>
      </c>
      <c r="C21" s="8">
        <v>10</v>
      </c>
      <c r="D21" s="8">
        <v>10</v>
      </c>
      <c r="E21" s="8">
        <v>10</v>
      </c>
      <c r="F21" s="8">
        <v>10</v>
      </c>
      <c r="G21" s="6">
        <f t="shared" si="0"/>
        <v>10</v>
      </c>
    </row>
    <row r="22" spans="1:7">
      <c r="A22" s="6" t="str">
        <f>'Final Results'!A22</f>
        <v>17-</v>
      </c>
      <c r="B22" s="11" t="str">
        <f>'Final Results'!B22</f>
        <v>Nooryn Omer Hasan</v>
      </c>
      <c r="C22" s="8">
        <v>10</v>
      </c>
      <c r="D22" s="8">
        <v>10</v>
      </c>
      <c r="E22" s="8">
        <v>10</v>
      </c>
      <c r="F22" s="8">
        <v>10</v>
      </c>
      <c r="G22" s="6">
        <f t="shared" si="0"/>
        <v>10</v>
      </c>
    </row>
    <row r="23" spans="1:7">
      <c r="A23" s="6" t="str">
        <f>'Final Results'!A23</f>
        <v>18-</v>
      </c>
      <c r="B23" s="11" t="str">
        <f>'Final Results'!B23</f>
        <v>Rayaan Ahmed Resk</v>
      </c>
      <c r="C23" s="8">
        <v>10</v>
      </c>
      <c r="D23" s="8">
        <v>10</v>
      </c>
      <c r="E23" s="8">
        <v>10</v>
      </c>
      <c r="F23" s="8">
        <v>10</v>
      </c>
      <c r="G23" s="6">
        <f t="shared" si="0"/>
        <v>10</v>
      </c>
    </row>
    <row r="24" spans="1:7">
      <c r="A24" s="6" t="str">
        <f>'Final Results'!A24</f>
        <v>19-</v>
      </c>
      <c r="B24" s="11" t="str">
        <f>'Final Results'!B24</f>
        <v>Ryan Sherif Ramadan</v>
      </c>
      <c r="C24" s="8">
        <v>10</v>
      </c>
      <c r="D24" s="8">
        <v>10</v>
      </c>
      <c r="E24" s="8">
        <v>10</v>
      </c>
      <c r="F24" s="8">
        <v>10</v>
      </c>
      <c r="G24" s="6">
        <f t="shared" si="0"/>
        <v>10</v>
      </c>
    </row>
    <row r="25" spans="1:7">
      <c r="A25" s="6" t="str">
        <f>'Final Results'!A25</f>
        <v>20-</v>
      </c>
      <c r="B25" s="11" t="str">
        <f>'Final Results'!B25</f>
        <v>Reem Sudqi Azmi</v>
      </c>
      <c r="C25" s="8">
        <v>10</v>
      </c>
      <c r="D25" s="8">
        <v>10</v>
      </c>
      <c r="E25" s="8">
        <v>10</v>
      </c>
      <c r="F25" s="8">
        <v>10</v>
      </c>
      <c r="G25" s="6">
        <f t="shared" si="0"/>
        <v>10</v>
      </c>
    </row>
    <row r="26" spans="1:7">
      <c r="A26" s="6" t="str">
        <f>'Final Results'!A26</f>
        <v>21-</v>
      </c>
      <c r="B26" s="11" t="str">
        <f>'Final Results'!B26</f>
        <v>Salama Humaid Abdullah</v>
      </c>
      <c r="C26" s="8">
        <v>10</v>
      </c>
      <c r="D26" s="8">
        <v>10</v>
      </c>
      <c r="E26" s="8">
        <v>10</v>
      </c>
      <c r="F26" s="8">
        <v>10</v>
      </c>
      <c r="G26" s="6">
        <f t="shared" si="0"/>
        <v>10</v>
      </c>
    </row>
    <row r="27" spans="1:7">
      <c r="A27" s="6" t="str">
        <f>'Final Results'!A27</f>
        <v>22-</v>
      </c>
      <c r="B27" s="11" t="str">
        <f>'Final Results'!B27</f>
        <v>Teya Mustafa Mahmoud</v>
      </c>
      <c r="C27" s="8">
        <v>10</v>
      </c>
      <c r="D27" s="8">
        <v>10</v>
      </c>
      <c r="E27" s="8">
        <v>10</v>
      </c>
      <c r="F27" s="8">
        <v>10</v>
      </c>
      <c r="G27" s="6">
        <f t="shared" si="0"/>
        <v>10</v>
      </c>
    </row>
    <row r="28" spans="1:7">
      <c r="A28" s="6" t="str">
        <f>'Final Results'!A28</f>
        <v>23-</v>
      </c>
      <c r="B28" s="11" t="str">
        <f>'Final Results'!B28</f>
        <v>Wahnita Tinashe</v>
      </c>
      <c r="C28" s="8">
        <v>10</v>
      </c>
      <c r="D28" s="8">
        <v>10</v>
      </c>
      <c r="E28" s="8">
        <v>10</v>
      </c>
      <c r="F28" s="8">
        <v>10</v>
      </c>
      <c r="G28" s="6">
        <f t="shared" si="0"/>
        <v>10</v>
      </c>
    </row>
    <row r="29" spans="1:7">
      <c r="A29" s="6" t="str">
        <f>'Final Results'!A29</f>
        <v>24-</v>
      </c>
      <c r="B29" s="11" t="str">
        <f>'Final Results'!B29</f>
        <v>Yamen Ahmed Elsayed</v>
      </c>
      <c r="C29" s="8">
        <v>10</v>
      </c>
      <c r="D29" s="8">
        <v>10</v>
      </c>
      <c r="E29" s="8">
        <v>10</v>
      </c>
      <c r="F29" s="8">
        <v>10</v>
      </c>
      <c r="G29" s="6">
        <f t="shared" si="0"/>
        <v>10</v>
      </c>
    </row>
    <row r="30" spans="1:7">
      <c r="A30" s="6" t="str">
        <f>'Final Results'!A30</f>
        <v>25-</v>
      </c>
      <c r="B30" s="11" t="str">
        <f>'Final Results'!B30</f>
        <v>Zerlin Rafaqat Syed</v>
      </c>
      <c r="C30" s="8">
        <v>10</v>
      </c>
      <c r="D30" s="8">
        <v>10</v>
      </c>
      <c r="E30" s="8">
        <v>10</v>
      </c>
      <c r="F30" s="8">
        <v>10</v>
      </c>
      <c r="G30" s="6">
        <f t="shared" si="0"/>
        <v>10</v>
      </c>
    </row>
    <row r="31" spans="1:7">
      <c r="A31" s="6" t="str">
        <f>'Final Results'!A31</f>
        <v>26-</v>
      </c>
      <c r="B31" s="11">
        <f>'Final Results'!B31</f>
        <v>0</v>
      </c>
      <c r="C31" s="8">
        <v>10</v>
      </c>
      <c r="D31" s="8">
        <v>10</v>
      </c>
      <c r="E31" s="8">
        <v>10</v>
      </c>
      <c r="F31" s="8">
        <v>10</v>
      </c>
      <c r="G31" s="6">
        <f t="shared" si="0"/>
        <v>10</v>
      </c>
    </row>
    <row r="32" spans="1:7">
      <c r="A32" s="6" t="str">
        <f>'Final Results'!A32</f>
        <v>27-</v>
      </c>
      <c r="B32" s="11">
        <f>'Final Results'!B32</f>
        <v>0</v>
      </c>
      <c r="C32" s="8">
        <v>10</v>
      </c>
      <c r="D32" s="8">
        <v>10</v>
      </c>
      <c r="E32" s="8">
        <v>10</v>
      </c>
      <c r="F32" s="8">
        <v>10</v>
      </c>
      <c r="G32" s="6">
        <f t="shared" si="0"/>
        <v>10</v>
      </c>
    </row>
    <row r="33" spans="1:7">
      <c r="A33" s="6" t="str">
        <f>'Final Results'!A33</f>
        <v>28-</v>
      </c>
      <c r="B33" s="11">
        <f>'Final Results'!B33</f>
        <v>0</v>
      </c>
      <c r="C33" s="8">
        <v>10</v>
      </c>
      <c r="D33" s="8">
        <v>10</v>
      </c>
      <c r="E33" s="8">
        <v>10</v>
      </c>
      <c r="F33" s="8">
        <v>10</v>
      </c>
      <c r="G33" s="6">
        <f t="shared" si="0"/>
        <v>10</v>
      </c>
    </row>
    <row r="34" spans="1:7">
      <c r="A34" s="6" t="str">
        <f>'Final Results'!A34</f>
        <v>29-</v>
      </c>
      <c r="B34" s="11">
        <f>'Final Results'!B34</f>
        <v>0</v>
      </c>
      <c r="C34" s="8">
        <v>10</v>
      </c>
      <c r="D34" s="8">
        <v>10</v>
      </c>
      <c r="E34" s="8">
        <v>10</v>
      </c>
      <c r="F34" s="8">
        <v>10</v>
      </c>
      <c r="G34" s="6">
        <f t="shared" si="0"/>
        <v>10</v>
      </c>
    </row>
    <row r="35" spans="1:7">
      <c r="A35" s="6" t="str">
        <f>'Final Results'!A35</f>
        <v>30-</v>
      </c>
      <c r="B35" s="11">
        <f>'Final Results'!B35</f>
        <v>0</v>
      </c>
      <c r="C35" s="8">
        <v>10</v>
      </c>
      <c r="D35" s="8">
        <v>10</v>
      </c>
      <c r="E35" s="8">
        <v>10</v>
      </c>
      <c r="F35" s="8">
        <v>10</v>
      </c>
      <c r="G35" s="6">
        <f t="shared" si="0"/>
        <v>10</v>
      </c>
    </row>
    <row r="36" spans="1:7">
      <c r="A36" s="6" t="str">
        <f>'Final Results'!A36</f>
        <v>31-</v>
      </c>
      <c r="B36" s="11">
        <f>'Final Results'!B36</f>
        <v>0</v>
      </c>
      <c r="C36" s="8"/>
      <c r="D36" s="8"/>
      <c r="E36" s="8"/>
      <c r="F36" s="8"/>
      <c r="G36" s="6" t="e">
        <f t="shared" si="0"/>
        <v>#DIV/0!</v>
      </c>
    </row>
    <row r="37" spans="1:7">
      <c r="A37" s="6" t="str">
        <f>'Final Results'!A37</f>
        <v>32-</v>
      </c>
      <c r="B37" s="11">
        <f>'Final Results'!B37</f>
        <v>0</v>
      </c>
      <c r="C37" s="8"/>
      <c r="D37" s="8"/>
      <c r="E37" s="8"/>
      <c r="F37" s="8"/>
      <c r="G37" s="6" t="e">
        <f t="shared" si="0"/>
        <v>#DIV/0!</v>
      </c>
    </row>
    <row r="38" spans="1:7">
      <c r="A38" s="6" t="str">
        <f>'Final Results'!A38</f>
        <v>33-</v>
      </c>
      <c r="B38" s="11">
        <f>'Final Results'!B38</f>
        <v>0</v>
      </c>
      <c r="C38" s="12"/>
      <c r="D38" s="12"/>
      <c r="E38" s="12"/>
      <c r="F38" s="12"/>
      <c r="G38" s="6" t="e">
        <f t="shared" si="0"/>
        <v>#DIV/0!</v>
      </c>
    </row>
    <row r="39" spans="1:7">
      <c r="A39" s="6" t="str">
        <f>'Final Results'!A39</f>
        <v>34-</v>
      </c>
      <c r="B39" s="11">
        <f>'Final Results'!B39</f>
        <v>0</v>
      </c>
      <c r="C39" s="12"/>
      <c r="D39" s="12"/>
      <c r="E39" s="12"/>
      <c r="F39" s="12"/>
      <c r="G39" s="6" t="e">
        <f t="shared" si="0"/>
        <v>#DIV/0!</v>
      </c>
    </row>
    <row r="40" spans="1:7">
      <c r="A40" s="6" t="str">
        <f>'Final Results'!A40</f>
        <v>35-</v>
      </c>
      <c r="B40" s="11">
        <f>'Final Results'!B40</f>
        <v>0</v>
      </c>
      <c r="C40" s="12"/>
      <c r="D40" s="12"/>
      <c r="E40" s="12"/>
      <c r="F40" s="12"/>
      <c r="G40" s="6" t="e">
        <f t="shared" si="0"/>
        <v>#DIV/0!</v>
      </c>
    </row>
  </sheetData>
  <sheetProtection algorithmName="SHA-512" hashValue="IGUPI/gGMHuE6/u4BauF54p7iFrWIQxEfjbcmcPlcFFOF3NOtY2LAdS+UmDoVhVi3MIT6YZ4W0t8+vo/L83TJg==" saltValue="3fOyOYWprwS4JcU04upVbw==" spinCount="100000" sheet="1" selectLockedCells="1" objects="1" scenarios="1"/>
  <mergeCells count="1">
    <mergeCell ref="C3:G3"/>
  </mergeCells>
  <dataValidations count="1">
    <dataValidation type="whole" operator="between" allowBlank="1" showErrorMessage="1" errorTitle="Error" error="Marks obtained cannot be more than 10" promptTitle="Error" prompt="Marks Obtained cannot be more than 10" sqref="C6:F40">
      <formula1>0</formula1>
      <formula2>10</formula2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40"/>
  <sheetViews>
    <sheetView topLeftCell="A27" workbookViewId="0">
      <selection activeCell="C34" sqref="C34:F35"/>
    </sheetView>
  </sheetViews>
  <sheetFormatPr defaultColWidth="9" defaultRowHeight="15" outlineLevelCol="6"/>
  <cols>
    <col min="2" max="2" width="56.5428571428571" customWidth="1"/>
    <col min="7" max="7" width="6.54285714285714" customWidth="1"/>
  </cols>
  <sheetData>
    <row r="2" spans="2:7">
      <c r="B2" s="1" t="str">
        <f>'Final Results'!B2</f>
        <v>First Mid-Term Exam (AY 2025-2026)</v>
      </c>
      <c r="C2" s="2"/>
      <c r="D2" s="3" t="s">
        <v>1</v>
      </c>
      <c r="E2" s="4">
        <f>'Final Results'!E2</f>
        <v>1</v>
      </c>
      <c r="F2" s="3" t="s">
        <v>2</v>
      </c>
      <c r="G2" s="4" t="str">
        <f>'Final Results'!G2</f>
        <v>A</v>
      </c>
    </row>
    <row r="3" spans="2:7">
      <c r="B3" s="5" t="s">
        <v>4</v>
      </c>
      <c r="C3" s="4" t="str">
        <f>'Final Results'!C3:G3</f>
        <v>Ms Patience</v>
      </c>
      <c r="D3" s="4"/>
      <c r="E3" s="4"/>
      <c r="F3" s="4"/>
      <c r="G3" s="4"/>
    </row>
    <row r="4" spans="1:7">
      <c r="A4" s="6" t="s">
        <v>6</v>
      </c>
      <c r="B4" s="6" t="s">
        <v>7</v>
      </c>
      <c r="C4" s="6" t="s">
        <v>78</v>
      </c>
      <c r="D4" s="6" t="s">
        <v>79</v>
      </c>
      <c r="E4" s="6" t="s">
        <v>80</v>
      </c>
      <c r="F4" s="6" t="s">
        <v>81</v>
      </c>
      <c r="G4" s="6" t="s">
        <v>12</v>
      </c>
    </row>
    <row r="5" spans="1:7">
      <c r="A5" s="6"/>
      <c r="B5" s="7" t="s">
        <v>77</v>
      </c>
      <c r="C5" s="6">
        <v>10</v>
      </c>
      <c r="D5" s="6">
        <v>10</v>
      </c>
      <c r="E5" s="6">
        <v>10</v>
      </c>
      <c r="F5" s="6">
        <v>10</v>
      </c>
      <c r="G5" s="6"/>
    </row>
    <row r="6" spans="1:7">
      <c r="A6" s="6" t="str">
        <f>'Final Results'!A6</f>
        <v>1-</v>
      </c>
      <c r="B6" s="6" t="str">
        <f>'Final Results'!B6</f>
        <v>Abdul Manan Nour</v>
      </c>
      <c r="C6" s="8">
        <v>10</v>
      </c>
      <c r="D6" s="8">
        <v>10</v>
      </c>
      <c r="E6" s="8">
        <v>10</v>
      </c>
      <c r="F6" s="9">
        <v>10</v>
      </c>
      <c r="G6" s="6">
        <f>MAX(ROUNDUP(AVERAGE(C6:F6),0),7)</f>
        <v>10</v>
      </c>
    </row>
    <row r="7" spans="1:7">
      <c r="A7" s="6" t="str">
        <f>'Final Results'!A7</f>
        <v>2-</v>
      </c>
      <c r="B7" s="6" t="str">
        <f>'Final Results'!B7</f>
        <v>Abdullah Mohamed Akrim</v>
      </c>
      <c r="C7" s="8">
        <v>10</v>
      </c>
      <c r="D7" s="8">
        <v>10</v>
      </c>
      <c r="E7" s="8">
        <v>10</v>
      </c>
      <c r="F7" s="9">
        <v>10</v>
      </c>
      <c r="G7" s="6">
        <f>MAX(ROUNDUP(AVERAGE(C7:F7),0),7)</f>
        <v>10</v>
      </c>
    </row>
    <row r="8" spans="1:7">
      <c r="A8" s="6" t="str">
        <f>'Final Results'!A8</f>
        <v>3-</v>
      </c>
      <c r="B8" s="6" t="str">
        <f>'Final Results'!B8</f>
        <v>Ahmad Ammar mohammed</v>
      </c>
      <c r="C8" s="8">
        <v>10</v>
      </c>
      <c r="D8" s="8">
        <v>10</v>
      </c>
      <c r="E8" s="8">
        <v>10</v>
      </c>
      <c r="F8" s="9">
        <v>10</v>
      </c>
      <c r="G8" s="6">
        <f t="shared" ref="G8:G40" si="0">MAX(ROUNDUP(AVERAGE(C8:F8),0),7)</f>
        <v>10</v>
      </c>
    </row>
    <row r="9" spans="1:7">
      <c r="A9" s="6" t="str">
        <f>'Final Results'!A9</f>
        <v>4-</v>
      </c>
      <c r="B9" s="6" t="str">
        <f>'Final Results'!B9</f>
        <v>Farida Ghofran</v>
      </c>
      <c r="C9" s="8">
        <v>10</v>
      </c>
      <c r="D9" s="8">
        <v>10</v>
      </c>
      <c r="E9" s="8">
        <v>10</v>
      </c>
      <c r="F9" s="9">
        <v>10</v>
      </c>
      <c r="G9" s="6">
        <f t="shared" si="0"/>
        <v>10</v>
      </c>
    </row>
    <row r="10" spans="1:7">
      <c r="A10" s="6" t="str">
        <f>'Final Results'!A10</f>
        <v>5-</v>
      </c>
      <c r="B10" s="6" t="str">
        <f>'Final Results'!B10</f>
        <v>Jwan Ayman Hashiam</v>
      </c>
      <c r="C10" s="8">
        <v>10</v>
      </c>
      <c r="D10" s="8">
        <v>10</v>
      </c>
      <c r="E10" s="8">
        <v>10</v>
      </c>
      <c r="F10" s="9">
        <v>10</v>
      </c>
      <c r="G10" s="6">
        <f t="shared" si="0"/>
        <v>10</v>
      </c>
    </row>
    <row r="11" spans="1:7">
      <c r="A11" s="6" t="str">
        <f>'Final Results'!A11</f>
        <v>6-</v>
      </c>
      <c r="B11" s="6" t="str">
        <f>'Final Results'!B11</f>
        <v>Ayla Ahmad</v>
      </c>
      <c r="C11" s="8">
        <v>10</v>
      </c>
      <c r="D11" s="8">
        <v>10</v>
      </c>
      <c r="E11" s="8">
        <v>10</v>
      </c>
      <c r="F11" s="9">
        <v>10</v>
      </c>
      <c r="G11" s="6">
        <f t="shared" si="0"/>
        <v>10</v>
      </c>
    </row>
    <row r="12" spans="1:7">
      <c r="A12" s="6" t="str">
        <f>'Final Results'!A12</f>
        <v>7-</v>
      </c>
      <c r="B12" s="6" t="str">
        <f>'Final Results'!B12</f>
        <v>Leen Ahmed Fekry</v>
      </c>
      <c r="C12" s="8">
        <v>10</v>
      </c>
      <c r="D12" s="8">
        <v>10</v>
      </c>
      <c r="E12" s="8">
        <v>10</v>
      </c>
      <c r="F12" s="9">
        <v>10</v>
      </c>
      <c r="G12" s="6">
        <f t="shared" si="0"/>
        <v>10</v>
      </c>
    </row>
    <row r="13" spans="1:7">
      <c r="A13" s="6" t="str">
        <f>'Final Results'!A13</f>
        <v>8-</v>
      </c>
      <c r="B13" s="6" t="str">
        <f>'Final Results'!B13</f>
        <v>Muhd. Faris suleman</v>
      </c>
      <c r="C13" s="8">
        <v>10</v>
      </c>
      <c r="D13" s="8">
        <v>10</v>
      </c>
      <c r="E13" s="8">
        <v>10</v>
      </c>
      <c r="F13" s="9">
        <v>10</v>
      </c>
      <c r="G13" s="6">
        <f t="shared" si="0"/>
        <v>10</v>
      </c>
    </row>
    <row r="14" spans="1:7">
      <c r="A14" s="6" t="str">
        <f>'Final Results'!A14</f>
        <v>9-</v>
      </c>
      <c r="B14" s="6" t="str">
        <f>'Final Results'!B14</f>
        <v>Maheen Fatima Shoaib</v>
      </c>
      <c r="C14" s="8">
        <v>10</v>
      </c>
      <c r="D14" s="8">
        <v>10</v>
      </c>
      <c r="E14" s="8">
        <v>10</v>
      </c>
      <c r="F14" s="9">
        <v>10</v>
      </c>
      <c r="G14" s="6">
        <f t="shared" si="0"/>
        <v>10</v>
      </c>
    </row>
    <row r="15" spans="1:7">
      <c r="A15" s="6" t="str">
        <f>'Final Results'!A15</f>
        <v>10-</v>
      </c>
      <c r="B15" s="6" t="str">
        <f>'Final Results'!B15</f>
        <v>Malek Mohamed</v>
      </c>
      <c r="C15" s="8">
        <v>10</v>
      </c>
      <c r="D15" s="8">
        <v>10</v>
      </c>
      <c r="E15" s="8">
        <v>10</v>
      </c>
      <c r="F15" s="9">
        <v>10</v>
      </c>
      <c r="G15" s="6">
        <f t="shared" si="0"/>
        <v>10</v>
      </c>
    </row>
    <row r="16" spans="1:7">
      <c r="A16" s="6" t="str">
        <f>'Final Results'!A16</f>
        <v>11-</v>
      </c>
      <c r="B16" s="6" t="str">
        <f>'Final Results'!B16</f>
        <v>Mariam Abusnaina</v>
      </c>
      <c r="C16" s="8">
        <v>10</v>
      </c>
      <c r="D16" s="8">
        <v>10</v>
      </c>
      <c r="E16" s="8">
        <v>10</v>
      </c>
      <c r="F16" s="9">
        <v>10</v>
      </c>
      <c r="G16" s="6">
        <f t="shared" si="0"/>
        <v>10</v>
      </c>
    </row>
    <row r="17" spans="1:7">
      <c r="A17" s="6" t="str">
        <f>'Final Results'!A17</f>
        <v>12-</v>
      </c>
      <c r="B17" s="6" t="str">
        <f>'Final Results'!B17</f>
        <v>Moath Mostafa Essam</v>
      </c>
      <c r="C17" s="8">
        <v>10</v>
      </c>
      <c r="D17" s="8">
        <v>10</v>
      </c>
      <c r="E17" s="8">
        <v>10</v>
      </c>
      <c r="F17" s="9">
        <v>10</v>
      </c>
      <c r="G17" s="6">
        <f t="shared" si="0"/>
        <v>10</v>
      </c>
    </row>
    <row r="18" spans="1:7">
      <c r="A18" s="6" t="str">
        <f>'Final Results'!A18</f>
        <v>13-</v>
      </c>
      <c r="B18" s="6" t="str">
        <f>'Final Results'!B18</f>
        <v>Muhammad Ayaan Sohaib</v>
      </c>
      <c r="C18" s="8">
        <v>10</v>
      </c>
      <c r="D18" s="8">
        <v>10</v>
      </c>
      <c r="E18" s="8">
        <v>10</v>
      </c>
      <c r="F18" s="9">
        <v>10</v>
      </c>
      <c r="G18" s="6">
        <f t="shared" si="0"/>
        <v>10</v>
      </c>
    </row>
    <row r="19" spans="1:7">
      <c r="A19" s="6" t="str">
        <f>'Final Results'!A19</f>
        <v>14-</v>
      </c>
      <c r="B19" s="6" t="str">
        <f>'Final Results'!B19</f>
        <v>Muhammad Mujtaba Sohaib</v>
      </c>
      <c r="C19" s="8">
        <v>10</v>
      </c>
      <c r="D19" s="8">
        <v>10</v>
      </c>
      <c r="E19" s="8">
        <v>10</v>
      </c>
      <c r="F19" s="9">
        <v>10</v>
      </c>
      <c r="G19" s="6">
        <f t="shared" si="0"/>
        <v>10</v>
      </c>
    </row>
    <row r="20" spans="1:7">
      <c r="A20" s="6" t="str">
        <f>'Final Results'!A20</f>
        <v>15-</v>
      </c>
      <c r="B20" s="6" t="str">
        <f>'Final Results'!B20</f>
        <v>Muhammad Salar Khan</v>
      </c>
      <c r="C20" s="8">
        <v>10</v>
      </c>
      <c r="D20" s="8">
        <v>10</v>
      </c>
      <c r="E20" s="8">
        <v>10</v>
      </c>
      <c r="F20" s="9">
        <v>10</v>
      </c>
      <c r="G20" s="6">
        <f t="shared" si="0"/>
        <v>10</v>
      </c>
    </row>
    <row r="21" spans="1:7">
      <c r="A21" s="6" t="str">
        <f>'Final Results'!A21</f>
        <v>16-</v>
      </c>
      <c r="B21" s="6" t="str">
        <f>'Final Results'!B21</f>
        <v>Nellie Mostafa Magdy</v>
      </c>
      <c r="C21" s="8">
        <v>10</v>
      </c>
      <c r="D21" s="8">
        <v>10</v>
      </c>
      <c r="E21" s="8">
        <v>10</v>
      </c>
      <c r="F21" s="9">
        <v>10</v>
      </c>
      <c r="G21" s="6">
        <f t="shared" si="0"/>
        <v>10</v>
      </c>
    </row>
    <row r="22" spans="1:7">
      <c r="A22" s="6" t="str">
        <f>'Final Results'!A22</f>
        <v>17-</v>
      </c>
      <c r="B22" s="6" t="str">
        <f>'Final Results'!B22</f>
        <v>Nooryn Omer Hasan</v>
      </c>
      <c r="C22" s="8">
        <v>10</v>
      </c>
      <c r="D22" s="8">
        <v>10</v>
      </c>
      <c r="E22" s="8">
        <v>10</v>
      </c>
      <c r="F22" s="9">
        <v>10</v>
      </c>
      <c r="G22" s="6">
        <f t="shared" si="0"/>
        <v>10</v>
      </c>
    </row>
    <row r="23" spans="1:7">
      <c r="A23" s="6" t="str">
        <f>'Final Results'!A23</f>
        <v>18-</v>
      </c>
      <c r="B23" s="6" t="str">
        <f>'Final Results'!B23</f>
        <v>Rayaan Ahmed Resk</v>
      </c>
      <c r="C23" s="8">
        <v>10</v>
      </c>
      <c r="D23" s="8">
        <v>10</v>
      </c>
      <c r="E23" s="8">
        <v>10</v>
      </c>
      <c r="F23" s="9">
        <v>10</v>
      </c>
      <c r="G23" s="6">
        <f t="shared" si="0"/>
        <v>10</v>
      </c>
    </row>
    <row r="24" spans="1:7">
      <c r="A24" s="6" t="str">
        <f>'Final Results'!A24</f>
        <v>19-</v>
      </c>
      <c r="B24" s="6" t="str">
        <f>'Final Results'!B24</f>
        <v>Ryan Sherif Ramadan</v>
      </c>
      <c r="C24" s="8">
        <v>10</v>
      </c>
      <c r="D24" s="8">
        <v>10</v>
      </c>
      <c r="E24" s="8">
        <v>10</v>
      </c>
      <c r="F24" s="9">
        <v>10</v>
      </c>
      <c r="G24" s="6">
        <f t="shared" si="0"/>
        <v>10</v>
      </c>
    </row>
    <row r="25" spans="1:7">
      <c r="A25" s="6" t="str">
        <f>'Final Results'!A25</f>
        <v>20-</v>
      </c>
      <c r="B25" s="6" t="str">
        <f>'Final Results'!B25</f>
        <v>Reem Sudqi Azmi</v>
      </c>
      <c r="C25" s="8">
        <v>10</v>
      </c>
      <c r="D25" s="8">
        <v>10</v>
      </c>
      <c r="E25" s="8">
        <v>10</v>
      </c>
      <c r="F25" s="9">
        <v>10</v>
      </c>
      <c r="G25" s="6">
        <f t="shared" si="0"/>
        <v>10</v>
      </c>
    </row>
    <row r="26" spans="1:7">
      <c r="A26" s="6" t="str">
        <f>'Final Results'!A26</f>
        <v>21-</v>
      </c>
      <c r="B26" s="6" t="str">
        <f>'Final Results'!B26</f>
        <v>Salama Humaid Abdullah</v>
      </c>
      <c r="C26" s="8">
        <v>10</v>
      </c>
      <c r="D26" s="8">
        <v>10</v>
      </c>
      <c r="E26" s="8">
        <v>10</v>
      </c>
      <c r="F26" s="9">
        <v>10</v>
      </c>
      <c r="G26" s="6">
        <f t="shared" si="0"/>
        <v>10</v>
      </c>
    </row>
    <row r="27" spans="1:7">
      <c r="A27" s="6" t="str">
        <f>'Final Results'!A27</f>
        <v>22-</v>
      </c>
      <c r="B27" s="6" t="str">
        <f>'Final Results'!B27</f>
        <v>Teya Mustafa Mahmoud</v>
      </c>
      <c r="C27" s="8">
        <v>10</v>
      </c>
      <c r="D27" s="8">
        <v>10</v>
      </c>
      <c r="E27" s="8">
        <v>10</v>
      </c>
      <c r="F27" s="9">
        <v>10</v>
      </c>
      <c r="G27" s="6">
        <f t="shared" si="0"/>
        <v>10</v>
      </c>
    </row>
    <row r="28" spans="1:7">
      <c r="A28" s="6" t="str">
        <f>'Final Results'!A28</f>
        <v>23-</v>
      </c>
      <c r="B28" s="6" t="str">
        <f>'Final Results'!B28</f>
        <v>Wahnita Tinashe</v>
      </c>
      <c r="C28" s="8">
        <v>10</v>
      </c>
      <c r="D28" s="8">
        <v>10</v>
      </c>
      <c r="E28" s="8">
        <v>10</v>
      </c>
      <c r="F28" s="9">
        <v>10</v>
      </c>
      <c r="G28" s="6">
        <f t="shared" si="0"/>
        <v>10</v>
      </c>
    </row>
    <row r="29" spans="1:7">
      <c r="A29" s="6" t="str">
        <f>'Final Results'!A29</f>
        <v>24-</v>
      </c>
      <c r="B29" s="6" t="str">
        <f>'Final Results'!B29</f>
        <v>Yamen Ahmed Elsayed</v>
      </c>
      <c r="C29" s="8">
        <v>10</v>
      </c>
      <c r="D29" s="8">
        <v>10</v>
      </c>
      <c r="E29" s="8">
        <v>10</v>
      </c>
      <c r="F29" s="9">
        <v>10</v>
      </c>
      <c r="G29" s="6">
        <f t="shared" si="0"/>
        <v>10</v>
      </c>
    </row>
    <row r="30" spans="1:7">
      <c r="A30" s="6" t="str">
        <f>'Final Results'!A30</f>
        <v>25-</v>
      </c>
      <c r="B30" s="6" t="str">
        <f>'Final Results'!B30</f>
        <v>Zerlin Rafaqat Syed</v>
      </c>
      <c r="C30" s="8">
        <v>10</v>
      </c>
      <c r="D30" s="8">
        <v>10</v>
      </c>
      <c r="E30" s="8">
        <v>10</v>
      </c>
      <c r="F30" s="9">
        <v>10</v>
      </c>
      <c r="G30" s="6">
        <f t="shared" si="0"/>
        <v>10</v>
      </c>
    </row>
    <row r="31" spans="1:7">
      <c r="A31" s="6" t="str">
        <f>'Final Results'!A31</f>
        <v>26-</v>
      </c>
      <c r="B31" s="6">
        <f>'Final Results'!B31</f>
        <v>0</v>
      </c>
      <c r="C31" s="8">
        <v>10</v>
      </c>
      <c r="D31" s="8">
        <v>10</v>
      </c>
      <c r="E31" s="8">
        <v>10</v>
      </c>
      <c r="F31" s="9">
        <v>10</v>
      </c>
      <c r="G31" s="6">
        <f t="shared" si="0"/>
        <v>10</v>
      </c>
    </row>
    <row r="32" spans="1:7">
      <c r="A32" s="6" t="str">
        <f>'Final Results'!A32</f>
        <v>27-</v>
      </c>
      <c r="B32" s="6">
        <f>'Final Results'!B32</f>
        <v>0</v>
      </c>
      <c r="C32" s="8">
        <v>10</v>
      </c>
      <c r="D32" s="8">
        <v>10</v>
      </c>
      <c r="E32" s="8">
        <v>10</v>
      </c>
      <c r="F32" s="9">
        <v>10</v>
      </c>
      <c r="G32" s="6">
        <f t="shared" si="0"/>
        <v>10</v>
      </c>
    </row>
    <row r="33" spans="1:7">
      <c r="A33" s="6" t="str">
        <f>'Final Results'!A33</f>
        <v>28-</v>
      </c>
      <c r="B33" s="6">
        <f>'Final Results'!B33</f>
        <v>0</v>
      </c>
      <c r="C33" s="8">
        <v>10</v>
      </c>
      <c r="D33" s="8">
        <v>10</v>
      </c>
      <c r="E33" s="8">
        <v>10</v>
      </c>
      <c r="F33" s="9">
        <v>10</v>
      </c>
      <c r="G33" s="6">
        <f t="shared" si="0"/>
        <v>10</v>
      </c>
    </row>
    <row r="34" spans="1:7">
      <c r="A34" s="6" t="str">
        <f>'Final Results'!A34</f>
        <v>29-</v>
      </c>
      <c r="B34" s="6">
        <f>'Final Results'!B34</f>
        <v>0</v>
      </c>
      <c r="C34" s="9">
        <v>10</v>
      </c>
      <c r="D34" s="9">
        <v>10</v>
      </c>
      <c r="E34" s="9">
        <v>10</v>
      </c>
      <c r="F34" s="9">
        <v>10</v>
      </c>
      <c r="G34" s="6">
        <f t="shared" si="0"/>
        <v>10</v>
      </c>
    </row>
    <row r="35" spans="1:7">
      <c r="A35" s="6" t="str">
        <f>'Final Results'!A35</f>
        <v>30-</v>
      </c>
      <c r="B35" s="6">
        <f>'Final Results'!B35</f>
        <v>0</v>
      </c>
      <c r="C35" s="9">
        <v>10</v>
      </c>
      <c r="D35" s="9">
        <v>10</v>
      </c>
      <c r="E35" s="9">
        <v>10</v>
      </c>
      <c r="F35" s="9">
        <v>10</v>
      </c>
      <c r="G35" s="6">
        <f t="shared" si="0"/>
        <v>10</v>
      </c>
    </row>
    <row r="36" spans="1:7">
      <c r="A36" s="6" t="str">
        <f>'Final Results'!A36</f>
        <v>31-</v>
      </c>
      <c r="B36" s="6">
        <f>'Final Results'!B36</f>
        <v>0</v>
      </c>
      <c r="C36" s="9"/>
      <c r="D36" s="9"/>
      <c r="E36" s="9"/>
      <c r="F36" s="9"/>
      <c r="G36" s="6" t="e">
        <f t="shared" si="0"/>
        <v>#DIV/0!</v>
      </c>
    </row>
    <row r="37" spans="1:7">
      <c r="A37" s="6" t="str">
        <f>'Final Results'!A37</f>
        <v>32-</v>
      </c>
      <c r="B37" s="6">
        <f>'Final Results'!B37</f>
        <v>0</v>
      </c>
      <c r="C37" s="9"/>
      <c r="D37" s="9"/>
      <c r="E37" s="9"/>
      <c r="F37" s="9"/>
      <c r="G37" s="6" t="e">
        <f t="shared" si="0"/>
        <v>#DIV/0!</v>
      </c>
    </row>
    <row r="38" spans="1:7">
      <c r="A38" s="6" t="str">
        <f>'Final Results'!A38</f>
        <v>33-</v>
      </c>
      <c r="B38" s="6">
        <f>'Final Results'!B38</f>
        <v>0</v>
      </c>
      <c r="C38" s="10"/>
      <c r="D38" s="10"/>
      <c r="E38" s="10"/>
      <c r="F38" s="10"/>
      <c r="G38" s="6" t="e">
        <f t="shared" si="0"/>
        <v>#DIV/0!</v>
      </c>
    </row>
    <row r="39" spans="1:7">
      <c r="A39" s="6" t="str">
        <f>'Final Results'!A39</f>
        <v>34-</v>
      </c>
      <c r="B39" s="6">
        <f>'Final Results'!B39</f>
        <v>0</v>
      </c>
      <c r="C39" s="10"/>
      <c r="D39" s="10"/>
      <c r="E39" s="10"/>
      <c r="F39" s="10"/>
      <c r="G39" s="6" t="e">
        <f t="shared" si="0"/>
        <v>#DIV/0!</v>
      </c>
    </row>
    <row r="40" spans="1:7">
      <c r="A40" s="6" t="str">
        <f>'Final Results'!A40</f>
        <v>35-</v>
      </c>
      <c r="B40" s="6">
        <f>'Final Results'!B40</f>
        <v>0</v>
      </c>
      <c r="C40" s="10"/>
      <c r="D40" s="10"/>
      <c r="E40" s="10"/>
      <c r="F40" s="10"/>
      <c r="G40" s="6" t="e">
        <f t="shared" si="0"/>
        <v>#DIV/0!</v>
      </c>
    </row>
  </sheetData>
  <sheetProtection algorithmName="SHA-512" hashValue="lwkLixUtKSOmKz2X59GrcvHit8YcMfKe+M/lKmUknrAbjF7va5moxgN91obDtO6rofopp8vxJs1ZwWZszY5QKQ==" saltValue="6nAXY+h3ZIKYkror6n+gNA==" spinCount="100000" sheet="1" selectLockedCells="1" objects="1" scenarios="1"/>
  <mergeCells count="1">
    <mergeCell ref="C3:G3"/>
  </mergeCells>
  <dataValidations count="1">
    <dataValidation type="whole" operator="between" allowBlank="1" showErrorMessage="1" errorTitle="Error" error="Marks obtained cannot be more than 10" promptTitle="Error" prompt="Marks obtained cannot be more than 10" sqref="C6:F40">
      <formula1>0</formula1>
      <formula2>10</formula2>
    </dataValidation>
  </dataValidation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Final Results</vt:lpstr>
      <vt:lpstr>Quiz</vt:lpstr>
      <vt:lpstr>HW&amp;Projects</vt:lpstr>
      <vt:lpstr>CW&amp;Projects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Wasif</dc:creator>
  <cp:lastModifiedBy>Lenovo</cp:lastModifiedBy>
  <dcterms:created xsi:type="dcterms:W3CDTF">2022-09-27T03:23:00Z</dcterms:created>
  <cp:lastPrinted>2022-10-03T03:46:00Z</cp:lastPrinted>
  <dcterms:modified xsi:type="dcterms:W3CDTF">2025-10-29T14:01:43Z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FED5CAF0E78A4174B1610D0975431DC9_12</vt:lpwstr>
  </property>
  <property fmtid="{D5CDD505-2E9C-101B-9397-08002B2CF9AE}" pid="3" name="KSOProductBuildVer">
    <vt:lpwstr>1033-12.2.0.23131</vt:lpwstr>
  </property>
</Properties>
</file>